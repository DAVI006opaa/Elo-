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Indice Elo Varejo" sheetId="2" state="visible" r:id="rId2"/>
    <sheet xmlns:r="http://schemas.openxmlformats.org/officeDocument/2006/relationships" name="Mercado - Contexto" sheetId="3" state="visible" r:id="rId3"/>
    <sheet xmlns:r="http://schemas.openxmlformats.org/officeDocument/2006/relationships" name="CRM Validacao" sheetId="4" state="visible" r:id="rId4"/>
    <sheet xmlns:r="http://schemas.openxmlformats.org/officeDocument/2006/relationships" name="Aprofundamento CFO" sheetId="5" state="visible" r:id="rId5"/>
    <sheet xmlns:r="http://schemas.openxmlformats.org/officeDocument/2006/relationships" name="CFO - Precificacao e Mercado" sheetId="6" state="visible" r:id="rId6"/>
    <sheet xmlns:r="http://schemas.openxmlformats.org/officeDocument/2006/relationships" name="CFO - Monte Carlo e Valuation" sheetId="7" state="visible" r:id="rId7"/>
    <sheet xmlns:r="http://schemas.openxmlformats.org/officeDocument/2006/relationships" name="CFO - Premissas e Metodologia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#,##0;\(#,##0\);&quot;n/d&quot;"/>
    <numFmt numFmtId="165" formatCode="#,##0;\(#,##0\)"/>
    <numFmt numFmtId="166" formatCode="#,##0.0"/>
    <numFmt numFmtId="167" formatCode="0.000"/>
    <numFmt numFmtId="168" formatCode="0.0%"/>
    <numFmt numFmtId="169" formatCode="0.000%"/>
    <numFmt numFmtId="170" formatCode="0.0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E2761"/>
      <sz val="16"/>
    </font>
    <font>
      <name val="Arial"/>
      <charset val="1"/>
      <family val="0"/>
      <i val="1"/>
      <color rgb="FF5B6472"/>
      <sz val="9"/>
    </font>
    <font>
      <name val="Arial"/>
      <charset val="1"/>
      <family val="0"/>
      <b val="1"/>
      <color rgb="FF1E276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1E2761"/>
      <sz val="14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808080"/>
      <sz val="8"/>
    </font>
    <font>
      <name val="Arial"/>
      <charset val="1"/>
      <family val="0"/>
      <i val="1"/>
      <color rgb="FF808080"/>
      <sz val="10"/>
    </font>
    <font>
      <b val="1"/>
      <color rgb="FF1E2761"/>
      <sz val="13"/>
    </font>
    <font>
      <i val="1"/>
      <color rgb="FF5B6472"/>
      <sz val="9.5"/>
    </font>
    <font>
      <b val="1"/>
      <color rgb="FF1E2761"/>
      <sz val="11.5"/>
    </font>
    <font>
      <b val="1"/>
      <color rgb="FFFFFFFF"/>
      <sz val="10"/>
    </font>
    <font>
      <color rgb="FF000000"/>
    </font>
    <font>
      <i val="1"/>
      <color rgb="FF808080"/>
      <sz val="8.5"/>
    </font>
    <font>
      <b val="1"/>
      <color rgb="FF000000"/>
    </font>
    <font>
      <color rgb="FF0000FF"/>
    </font>
    <font>
      <i val="1"/>
      <color rgb="FFB3261E"/>
      <sz val="8.5"/>
    </font>
    <font>
      <i val="1"/>
      <color rgb="FF000000"/>
      <sz val="9"/>
    </font>
    <font>
      <color rgb="FF1B7A3D"/>
    </font>
  </fonts>
  <fills count="7">
    <fill>
      <patternFill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1E2761"/>
      </patternFill>
    </fill>
    <fill>
      <patternFill patternType="solid">
        <fgColor rgb="FFFFFF00"/>
      </patternFill>
    </fill>
    <fill>
      <patternFill patternType="solid">
        <fgColor rgb="FFE3F2E6"/>
      </patternFill>
    </fill>
  </fills>
  <borders count="3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 wrapText="1"/>
    </xf>
    <xf numFmtId="0" fontId="6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65" fontId="1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0" fontId="7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 wrapText="1"/>
    </xf>
    <xf numFmtId="0" fontId="7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 wrapText="1"/>
    </xf>
    <xf numFmtId="0" fontId="7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13" fillId="0" borderId="0" pivotButton="0" quotePrefix="0" xfId="0"/>
    <xf numFmtId="0" fontId="14" fillId="0" borderId="0" applyAlignment="1" pivotButton="0" quotePrefix="0" xfId="0">
      <alignment vertical="center" wrapText="1"/>
    </xf>
    <xf numFmtId="0" fontId="15" fillId="0" borderId="0" pivotButton="0" quotePrefix="0" xfId="0"/>
    <xf numFmtId="0" fontId="16" fillId="4" borderId="2" applyAlignment="1" pivotButton="0" quotePrefix="0" xfId="0">
      <alignment horizontal="center" vertical="center" wrapText="1"/>
    </xf>
    <xf numFmtId="0" fontId="17" fillId="0" borderId="0" pivotButton="0" quotePrefix="0" xfId="0"/>
    <xf numFmtId="3" fontId="17" fillId="0" borderId="0" pivotButton="0" quotePrefix="0" xfId="0"/>
    <xf numFmtId="10" fontId="17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18" fillId="0" borderId="0" applyAlignment="1" pivotButton="0" quotePrefix="0" xfId="0">
      <alignment vertical="center" wrapText="1"/>
    </xf>
    <xf numFmtId="9" fontId="17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9" fillId="0" borderId="0" pivotButton="0" quotePrefix="0" xfId="0"/>
    <xf numFmtId="10" fontId="19" fillId="0" borderId="0" pivotButton="0" quotePrefix="0" xfId="0"/>
    <xf numFmtId="166" fontId="17" fillId="0" borderId="0" pivotButton="0" quotePrefix="0" xfId="0"/>
    <xf numFmtId="167" fontId="20" fillId="0" borderId="0" pivotButton="0" quotePrefix="0" xfId="0"/>
    <xf numFmtId="168" fontId="17" fillId="0" borderId="0" pivotButton="0" quotePrefix="0" xfId="0"/>
    <xf numFmtId="1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18" fillId="0" borderId="0" pivotButton="0" quotePrefix="0" xfId="0"/>
    <xf numFmtId="10" fontId="20" fillId="0" borderId="0" pivotButton="0" quotePrefix="0" xfId="0"/>
    <xf numFmtId="0" fontId="22" fillId="0" borderId="0" applyAlignment="1" pivotButton="0" quotePrefix="0" xfId="0">
      <alignment vertical="center" wrapText="1"/>
    </xf>
    <xf numFmtId="0" fontId="23" fillId="6" borderId="0" pivotButton="0" quotePrefix="0" xfId="0"/>
    <xf numFmtId="0" fontId="23" fillId="6" borderId="0" applyAlignment="1" pivotButton="0" quotePrefix="0" xfId="0">
      <alignment vertical="center" wrapText="1"/>
    </xf>
    <xf numFmtId="3" fontId="23" fillId="6" borderId="0" pivotButton="0" quotePrefix="0" xfId="0"/>
    <xf numFmtId="169" fontId="17" fillId="0" borderId="0" pivotButton="0" quotePrefix="0" xfId="0"/>
    <xf numFmtId="0" fontId="20" fillId="0" borderId="0" pivotButton="0" quotePrefix="0" xfId="0"/>
    <xf numFmtId="0" fontId="23" fillId="6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 wrapText="1"/>
    </xf>
    <xf numFmtId="3" fontId="20" fillId="0" borderId="0" applyAlignment="1" pivotButton="0" quotePrefix="0" xfId="0">
      <alignment horizontal="center" vertical="center"/>
    </xf>
    <xf numFmtId="3" fontId="23" fillId="6" borderId="0" applyAlignment="1" pivotButton="0" quotePrefix="0" xfId="0">
      <alignment horizontal="center" vertical="center"/>
    </xf>
    <xf numFmtId="3" fontId="19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2" fontId="0" fillId="0" borderId="0" pivotButton="0" quotePrefix="0" xfId="0"/>
    <xf numFmtId="0" fontId="20" fillId="0" borderId="0" applyAlignment="1" pivotButton="0" quotePrefix="0" xfId="0">
      <alignment vertical="center" wrapText="1"/>
    </xf>
    <xf numFmtId="167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H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21" min="1" max="1"/>
    <col width="14" customWidth="1" style="21" min="2" max="2"/>
    <col width="12" customWidth="1" style="21" min="3" max="8"/>
  </cols>
  <sheetData>
    <row r="2" ht="19.7" customHeight="1" s="22">
      <c r="B2" s="23" t="inlineStr">
        <is>
          <t>Elo Varejo — Análise Financeira Comparada</t>
        </is>
      </c>
    </row>
    <row r="3" ht="15" customHeight="1" s="22">
      <c r="B3" s="24" t="inlineStr">
        <is>
          <t>Future Lab 2026 · Davi Lucas · Piloto: perda de estoque em redes de varejo listadas (dado CVM)</t>
        </is>
      </c>
    </row>
    <row r="5" ht="15" customHeight="1" s="22">
      <c r="B5" s="25" t="inlineStr">
        <is>
          <t>Aba 'Indice Elo Varejo'</t>
        </is>
      </c>
    </row>
    <row r="6" ht="45" customHeight="1" s="22">
      <c r="B6" s="26" t="inlineStr">
        <is>
          <t>Comparação real entre redes de varejo. Magazine Luiza está 100% preenchida com dado real, extraído e citado diretamente das Demonstrações Financeiras auditadas por Ernst &amp; Young (31/12/2023). As demais linhas (fundo amarelo) são placeholders — mesma estrutura, prontas para receber o dado real de cada empresa quando você rodar a extração de verdade durante o sprint.</t>
        </is>
      </c>
    </row>
    <row r="8" ht="15" customHeight="1" s="22">
      <c r="B8" s="25" t="inlineStr">
        <is>
          <t>Aba 'Mercado - Contexto'</t>
        </is>
      </c>
    </row>
    <row r="9" ht="45" customHeight="1" s="22">
      <c r="B9" s="26" t="inlineStr">
        <is>
          <t>Números de mercado real e citado (9ª Pesquisa Abrappe + Protiviti, 2025) — tamanho da dor, não específico de uma empresa.</t>
        </is>
      </c>
    </row>
    <row r="11" ht="15" customHeight="1" s="22">
      <c r="B11" s="25" t="inlineStr">
        <is>
          <t>Aba 'CRM Validacao'</t>
        </is>
      </c>
    </row>
    <row r="12" ht="45" customHeight="1" s="22">
      <c r="B12" s="26" t="inlineStr">
        <is>
          <t>Lista de pessoas para validar a dor de mercado, com status e eixo narrativo sugerido pra cada uma.</t>
        </is>
      </c>
    </row>
    <row r="14" ht="15" customHeight="1" s="22">
      <c r="B14" s="25" t="inlineStr">
        <is>
          <t>Convenção de cor</t>
        </is>
      </c>
    </row>
    <row r="15" ht="45" customHeight="1" s="22">
      <c r="B15" s="26" t="inlineStr">
        <is>
          <t>Azul = dado real, digitado a partir de fonte citada. Preto = fórmula. Amarelo = célula para você preencher.</t>
        </is>
      </c>
    </row>
  </sheetData>
  <mergeCells count="4">
    <mergeCell ref="B6:H6"/>
    <mergeCell ref="B15:H15"/>
    <mergeCell ref="B12:H12"/>
    <mergeCell ref="B9:H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21" min="1" max="1"/>
    <col width="8" customWidth="1" style="21" min="2" max="2"/>
    <col width="9" customWidth="1" style="21" min="3" max="3"/>
    <col width="12" customWidth="1" style="21" min="4" max="4"/>
    <col width="16" customWidth="1" style="21" min="5" max="5"/>
    <col width="14" customWidth="1" style="21" min="6" max="9"/>
    <col width="40" customWidth="1" style="21" min="10" max="10"/>
  </cols>
  <sheetData>
    <row r="1" ht="17.35" customHeight="1" s="22">
      <c r="A1" s="27" t="inlineStr">
        <is>
          <t>Índice Elo Varejo — Provisão para Perdas em Estoque, Redes Listadas na Bolsa</t>
        </is>
      </c>
    </row>
    <row r="2" ht="15" customHeight="1" s="22">
      <c r="A2" s="24" t="inlineStr">
        <is>
          <t>Fonte real: Demonstrações Financeiras Padronizadas (DFP), auditadas, publicadas via CVM. Valores em R$ mil.</t>
        </is>
      </c>
    </row>
    <row r="4" ht="31.5" customHeight="1" s="22">
      <c r="A4" s="28" t="inlineStr">
        <is>
          <t>Empresa</t>
        </is>
      </c>
      <c r="B4" s="28" t="inlineStr">
        <is>
          <t>Ticker</t>
        </is>
      </c>
      <c r="C4" s="28" t="inlineStr">
        <is>
          <t>Exercício</t>
        </is>
      </c>
      <c r="D4" s="28" t="inlineStr">
        <is>
          <t>Base</t>
        </is>
      </c>
      <c r="E4" s="28" t="inlineStr">
        <is>
          <t>Estoque bruto
(mercadorias+consumo)</t>
        </is>
      </c>
      <c r="F4" s="28" t="inlineStr">
        <is>
          <t>Provisão p/ perdas
no estoque</t>
        </is>
      </c>
      <c r="G4" s="28" t="inlineStr">
        <is>
          <t>Estoque líquido</t>
        </is>
      </c>
      <c r="H4" s="28" t="inlineStr">
        <is>
          <t>% Provisão / Estoque bruto</t>
        </is>
      </c>
      <c r="I4" s="28" t="inlineStr">
        <is>
          <t>Auditor</t>
        </is>
      </c>
      <c r="J4" s="28" t="inlineStr">
        <is>
          <t>Fonte / Status</t>
        </is>
      </c>
    </row>
    <row r="5" ht="19.4" customHeight="1" s="22">
      <c r="A5" s="29" t="inlineStr">
        <is>
          <t>Magazine Luiza S.A.</t>
        </is>
      </c>
      <c r="B5" s="29" t="inlineStr">
        <is>
          <t>MGLU3</t>
        </is>
      </c>
      <c r="C5" s="29" t="inlineStr">
        <is>
          <t>2023</t>
        </is>
      </c>
      <c r="D5" s="29" t="inlineStr">
        <is>
          <t>Consolidado</t>
        </is>
      </c>
      <c r="E5" s="30" t="n">
        <v>7676860</v>
      </c>
      <c r="F5" s="31" t="n">
        <v>-179561</v>
      </c>
      <c r="G5" s="32">
        <f>E5+F5</f>
        <v/>
      </c>
      <c r="H5" s="33">
        <f>-F5/E5</f>
        <v/>
      </c>
      <c r="I5" s="29" t="inlineStr">
        <is>
          <t>Ernst &amp; Young</t>
        </is>
      </c>
      <c r="J5" s="34" t="inlineStr">
        <is>
          <t>Real — DF 31/12/2023, Nota 9 (Estoques), publicado ri.magazineluiza.com.br, auditado 18/03/2024</t>
        </is>
      </c>
    </row>
    <row r="6" ht="19.4" customHeight="1" s="22">
      <c r="A6" s="29" t="inlineStr">
        <is>
          <t>Magazine Luiza S.A.</t>
        </is>
      </c>
      <c r="B6" s="29" t="inlineStr">
        <is>
          <t>MGLU3</t>
        </is>
      </c>
      <c r="C6" s="29" t="inlineStr">
        <is>
          <t>2022</t>
        </is>
      </c>
      <c r="D6" s="29" t="inlineStr">
        <is>
          <t>Consolidado</t>
        </is>
      </c>
      <c r="E6" s="32" t="n"/>
      <c r="F6" s="31" t="n">
        <v>-184484</v>
      </c>
      <c r="G6" s="32" t="inlineStr">
        <is>
          <t>n/d</t>
        </is>
      </c>
      <c r="H6" s="29" t="inlineStr">
        <is>
          <t>n/d</t>
        </is>
      </c>
      <c r="I6" s="29" t="inlineStr">
        <is>
          <t>Ernst &amp; Young</t>
        </is>
      </c>
      <c r="J6" s="34" t="inlineStr">
        <is>
          <t>Real — mesma nota, saldo comparativo 2022 (estoque bruto 2022 não extraído nesta rodada)</t>
        </is>
      </c>
    </row>
    <row r="7" ht="19.4" customHeight="1" s="22">
      <c r="A7" s="35" t="inlineStr">
        <is>
          <t>Via S.A. (Casas Bahia / Ponto)</t>
        </is>
      </c>
      <c r="B7" s="35" t="inlineStr">
        <is>
          <t>VIIA3</t>
        </is>
      </c>
      <c r="C7" s="36" t="inlineStr">
        <is>
          <t>A EXTRAIR</t>
        </is>
      </c>
      <c r="D7" s="37" t="inlineStr">
        <is>
          <t>Consolidado</t>
        </is>
      </c>
      <c r="E7" s="37" t="n"/>
      <c r="F7" s="37" t="n"/>
      <c r="G7" s="37" t="n"/>
      <c r="H7" s="37" t="n"/>
      <c r="I7" s="37" t="n"/>
      <c r="J7" s="38" t="inlineStr">
        <is>
          <t>Pendente — extrair do DFP/ITR mais recente na CVM (dados.cvm.gov.br) durante o sprint</t>
        </is>
      </c>
    </row>
    <row r="8" ht="19.4" customHeight="1" s="22">
      <c r="A8" s="35" t="inlineStr">
        <is>
          <t>Lojas Renner S.A.</t>
        </is>
      </c>
      <c r="B8" s="35" t="inlineStr">
        <is>
          <t>LREN3</t>
        </is>
      </c>
      <c r="C8" s="36" t="inlineStr">
        <is>
          <t>A EXTRAIR</t>
        </is>
      </c>
      <c r="D8" s="37" t="inlineStr">
        <is>
          <t>Consolidado</t>
        </is>
      </c>
      <c r="E8" s="37" t="n"/>
      <c r="F8" s="37" t="n"/>
      <c r="G8" s="37" t="n"/>
      <c r="H8" s="37" t="n"/>
      <c r="I8" s="37" t="n"/>
      <c r="J8" s="38" t="inlineStr">
        <is>
          <t>Pendente — extrair do DFP/ITR mais recente na CVM (dados.cvm.gov.br) durante o sprint</t>
        </is>
      </c>
    </row>
    <row r="9" ht="19.4" customHeight="1" s="22">
      <c r="A9" s="35" t="inlineStr">
        <is>
          <t>C&amp;A Modas S.A.</t>
        </is>
      </c>
      <c r="B9" s="35" t="inlineStr">
        <is>
          <t>CEAB3</t>
        </is>
      </c>
      <c r="C9" s="36" t="inlineStr">
        <is>
          <t>A EXTRAIR</t>
        </is>
      </c>
      <c r="D9" s="37" t="inlineStr">
        <is>
          <t>Consolidado</t>
        </is>
      </c>
      <c r="E9" s="37" t="n"/>
      <c r="F9" s="37" t="n"/>
      <c r="G9" s="37" t="n"/>
      <c r="H9" s="37" t="n"/>
      <c r="I9" s="37" t="n"/>
      <c r="J9" s="38" t="inlineStr">
        <is>
          <t>Pendente — extrair do DFP/ITR mais recente na CVM (dados.cvm.gov.br) durante o sprint</t>
        </is>
      </c>
    </row>
    <row r="10" ht="19.4" customHeight="1" s="22">
      <c r="A10" s="35" t="inlineStr">
        <is>
          <t>Assaí Atacadista</t>
        </is>
      </c>
      <c r="B10" s="35" t="inlineStr">
        <is>
          <t>ASAI3</t>
        </is>
      </c>
      <c r="C10" s="36" t="inlineStr">
        <is>
          <t>A EXTRAIR</t>
        </is>
      </c>
      <c r="D10" s="37" t="inlineStr">
        <is>
          <t>Consolidado</t>
        </is>
      </c>
      <c r="E10" s="37" t="n"/>
      <c r="F10" s="37" t="n"/>
      <c r="G10" s="37" t="n"/>
      <c r="H10" s="37" t="n"/>
      <c r="I10" s="37" t="n"/>
      <c r="J10" s="38" t="inlineStr">
        <is>
          <t>Pendente — extrair do DFP/ITR mais recente na CVM (dados.cvm.gov.br) durante o sprint</t>
        </is>
      </c>
    </row>
    <row r="11" ht="19.4" customHeight="1" s="22">
      <c r="A11" s="35" t="inlineStr">
        <is>
          <t>Grupo SBF (Centauro)</t>
        </is>
      </c>
      <c r="B11" s="35" t="inlineStr">
        <is>
          <t>SBFG3</t>
        </is>
      </c>
      <c r="C11" s="36" t="inlineStr">
        <is>
          <t>A EXTRAIR</t>
        </is>
      </c>
      <c r="D11" s="37" t="inlineStr">
        <is>
          <t>Consolidado</t>
        </is>
      </c>
      <c r="E11" s="37" t="n"/>
      <c r="F11" s="37" t="n"/>
      <c r="G11" s="37" t="n"/>
      <c r="H11" s="37" t="n"/>
      <c r="I11" s="37" t="n"/>
      <c r="J11" s="38" t="inlineStr">
        <is>
          <t>Pendente — extrair do DFP/ITR mais recente na CVM (dados.cvm.gov.br) durante o sprint</t>
        </is>
      </c>
    </row>
    <row r="12" ht="19.4" customHeight="1" s="22">
      <c r="A12" s="35" t="inlineStr">
        <is>
          <t>Marisa Lojas S.A.</t>
        </is>
      </c>
      <c r="B12" s="35" t="inlineStr">
        <is>
          <t>AMAR3</t>
        </is>
      </c>
      <c r="C12" s="36" t="inlineStr">
        <is>
          <t>A EXTRAIR</t>
        </is>
      </c>
      <c r="D12" s="37" t="inlineStr">
        <is>
          <t>Consolidado</t>
        </is>
      </c>
      <c r="E12" s="37" t="n"/>
      <c r="F12" s="37" t="n"/>
      <c r="G12" s="37" t="n"/>
      <c r="H12" s="37" t="n"/>
      <c r="I12" s="37" t="n"/>
      <c r="J12" s="38" t="inlineStr">
        <is>
          <t>Pendente — extrair do DFP/ITR mais recente na CVM (dados.cvm.gov.br) durante o sprint</t>
        </is>
      </c>
    </row>
    <row r="14" ht="15" customHeight="1" s="22">
      <c r="A14" s="25" t="inlineStr">
        <is>
          <t>Metodologia (nota adjacente à tabela):</t>
        </is>
      </c>
    </row>
    <row r="15" ht="75" customHeight="1" s="22">
      <c r="A15" s="26" t="inlineStr">
        <is>
          <t>% Provisão/Estoque bruto = provisão para perdas em estoque ÷ (mercadorias para revenda + material de consumo), conforme Nota Explicativa de Estoques de cada companhia. Este sandbox não teve acesso de rede ao portal de dados abertos da CVM (dados.cvm.gov.br) para automatizar a extração das demais linhas — a extração da Magazine Luiza foi feita manualmente a partir do PDF oficial publicado no site de RI da empresa, e é 100% real e verificável. As linhas em amarelo têm a mesma estrutura pronta para receber dado real durante o sprint (Claude Code, com acesso à internet, deve conseguir automatizar a extração e a busca por terminologia equivalente em cada empresa: 'provisão para perda de estoque', 'ajuste a valor de mercado', 'quebra operacional', 'obsolescência').</t>
        </is>
      </c>
    </row>
  </sheetData>
  <mergeCells count="4">
    <mergeCell ref="A1:J1"/>
    <mergeCell ref="A15:J15"/>
    <mergeCell ref="A14:J14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4" customWidth="1" style="21" min="1" max="1"/>
    <col width="26" customWidth="1" style="21" min="2" max="2"/>
    <col width="46" customWidth="1" style="21" min="3" max="3"/>
    <col width="34" customWidth="1" style="21" min="4" max="4"/>
  </cols>
  <sheetData>
    <row r="1" ht="17.35" customHeight="1" s="22">
      <c r="A1" s="27" t="inlineStr">
        <is>
          <t>Mercado — Contexto Real (9ª Pesquisa Abrappe de Prevenção de Perdas + Protiviti, 2025)</t>
        </is>
      </c>
    </row>
    <row r="3" ht="15" customHeight="1" s="22">
      <c r="A3" s="28" t="inlineStr">
        <is>
          <t>Métrica</t>
        </is>
      </c>
      <c r="B3" s="28" t="inlineStr">
        <is>
          <t>Valor</t>
        </is>
      </c>
      <c r="C3" s="28" t="inlineStr">
        <is>
          <t>Comparação / Tendência</t>
        </is>
      </c>
      <c r="D3" s="28" t="inlineStr">
        <is>
          <t>Fonte</t>
        </is>
      </c>
    </row>
    <row r="4" ht="31.5" customHeight="1" s="22">
      <c r="A4" s="39" t="inlineStr">
        <is>
          <t>Perda total do varejo brasileiro, 2025</t>
        </is>
      </c>
      <c r="B4" s="40" t="inlineStr">
        <is>
          <t>R$ 42,1 bilhões</t>
        </is>
      </c>
      <c r="C4" s="39" t="inlineStr">
        <is>
          <t>Faturamento cresceu 6,4% (R$2,55 tri); perdas cresceram 15,3% no mesmo período — perda piora mais rápido que o setor cresce</t>
        </is>
      </c>
      <c r="D4" s="39" t="inlineStr">
        <is>
          <t>9ª Pesquisa Abrappe/Protiviti, 2025</t>
        </is>
      </c>
    </row>
    <row r="5" ht="31.5" customHeight="1" s="22">
      <c r="A5" s="39" t="inlineStr">
        <is>
          <t>Índice médio de perdas</t>
        </is>
      </c>
      <c r="B5" s="40" t="inlineStr">
        <is>
          <t>1,65% da receita (2025)</t>
        </is>
      </c>
      <c r="C5" s="39" t="inlineStr">
        <is>
          <t>Subiu de 1,51% em 2024 (+9,27%)</t>
        </is>
      </c>
      <c r="D5" s="39" t="inlineStr">
        <is>
          <t>9ª Pesquisa Abrappe/Protiviti, 2025</t>
        </is>
      </c>
    </row>
    <row r="6" ht="31.5" customHeight="1" s="22">
      <c r="A6" s="39" t="inlineStr">
        <is>
          <t>Relação vendas/perda</t>
        </is>
      </c>
      <c r="B6" s="40" t="inlineStr">
        <is>
          <t>R$1 perdido a cada R$61 vendidos</t>
        </is>
      </c>
      <c r="C6" s="39" t="inlineStr">
        <is>
          <t>—</t>
        </is>
      </c>
      <c r="D6" s="39" t="inlineStr">
        <is>
          <t>9ª Pesquisa Abrappe/Protiviti, 2025</t>
        </is>
      </c>
    </row>
    <row r="7" ht="31.5" customHeight="1" s="22">
      <c r="A7" s="39" t="inlineStr">
        <is>
          <t>Composição da perda</t>
        </is>
      </c>
      <c r="B7" s="40" t="inlineStr">
        <is>
          <t>~70% quebra operacional, furto interno/externo e erro de inventário</t>
        </is>
      </c>
      <c r="C7" s="39" t="inlineStr">
        <is>
          <t>—</t>
        </is>
      </c>
      <c r="D7" s="39" t="inlineStr">
        <is>
          <t>9ª Pesquisa Abrappe/Protiviti, 2025</t>
        </is>
      </c>
    </row>
    <row r="8" ht="31.5" customHeight="1" s="22">
      <c r="A8" s="39" t="inlineStr">
        <is>
          <t>Eletromóveis — perda total</t>
        </is>
      </c>
      <c r="B8" s="40" t="inlineStr">
        <is>
          <t>+278,2% no ano</t>
        </is>
      </c>
      <c r="C8" s="39" t="inlineStr">
        <is>
          <t>Pior desempenho absoluto entre os segmentos, puxado por fraude em canal digital</t>
        </is>
      </c>
      <c r="D8" s="39" t="inlineStr">
        <is>
          <t>9ª Pesquisa Abrappe/Protiviti, 2025</t>
        </is>
      </c>
    </row>
    <row r="9" ht="31.5" customHeight="1" s="22">
      <c r="A9" s="39" t="inlineStr">
        <is>
          <t>Eletromóveis — perda não identificada</t>
        </is>
      </c>
      <c r="B9" s="40" t="inlineStr">
        <is>
          <t>+641,8% no ano</t>
        </is>
      </c>
      <c r="C9" s="39" t="inlineStr">
        <is>
          <t>Furto/fraude não rastreável — maior lacuna de visibilidade entre os segmentos</t>
        </is>
      </c>
      <c r="D9" s="39" t="inlineStr">
        <is>
          <t>9ª Pesquisa Abrappe/Protiviti, 2025</t>
        </is>
      </c>
    </row>
    <row r="10" ht="31.5" customHeight="1" s="22">
      <c r="A10" s="39" t="inlineStr">
        <is>
          <t>Lojas de conveniência — pior índice de formato</t>
        </is>
      </c>
      <c r="B10" s="40" t="inlineStr">
        <is>
          <t>3,81% (+24,5%)</t>
        </is>
      </c>
      <c r="C10" s="39" t="inlineStr">
        <is>
          <t>Pressão de perecíveis + baixa estrutura de prevenção</t>
        </is>
      </c>
      <c r="D10" s="39" t="inlineStr">
        <is>
          <t>9ª Pesquisa Abrappe/Protiviti, 2025</t>
        </is>
      </c>
    </row>
    <row r="11" ht="31.5" customHeight="1" s="22">
      <c r="A11" s="39" t="inlineStr">
        <is>
          <t>Via S.A. — prejuízo líquido</t>
        </is>
      </c>
      <c r="B11" s="40" t="inlineStr">
        <is>
          <t>R$1,045 bi (2024), abaixo de R$2,625 bi (2023)</t>
        </is>
      </c>
      <c r="C11" s="39" t="inlineStr">
        <is>
          <t>Fechamento de 55 lojas, redução de &gt;R$1bi em estoque, plano de reestruturação</t>
        </is>
      </c>
      <c r="D11" s="39" t="inlineStr">
        <is>
          <t>Imprensa (Seu Dinheiro, CNN Brasil), demonstrações da Via</t>
        </is>
      </c>
    </row>
    <row r="13" ht="15" customHeight="1" s="22">
      <c r="A13" s="25" t="inlineStr">
        <is>
          <t>Ponto de ataque recomendado (o mais simples e mais sentido):</t>
        </is>
      </c>
    </row>
    <row r="14" ht="60" customHeight="1" s="22">
      <c r="A14" s="26" t="inlineStr">
        <is>
          <t>Eletromóveis é o segmento com o sinal mais forte e mais urgente: perda total +278,2% e perda NÃO IDENTIFICADA +641,8% no ano — ou seja, é o segmento onde as empresas menos conseguem explicar a própria perda, exatamente o tipo de lacuna que um índice comparável resolve primeiro. Magazine Luiza e Via são as duas maiores redes públicas expostas a esse segmento — por isso a Magazine Luiza foi escolhida como primeiro caso real.</t>
        </is>
      </c>
    </row>
  </sheetData>
  <mergeCells count="2">
    <mergeCell ref="A1:D1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21" min="1" max="1"/>
    <col width="34" customWidth="1" style="21" min="2" max="2"/>
    <col width="22" customWidth="1" style="21" min="3" max="3"/>
    <col width="24" customWidth="1" style="21" min="4" max="4"/>
    <col width="34" customWidth="1" style="21" min="5" max="5"/>
    <col width="30" customWidth="1" style="21" min="6" max="6"/>
    <col width="14" customWidth="1" style="21" min="7" max="7"/>
  </cols>
  <sheetData>
    <row r="1" ht="17.35" customHeight="1" s="22">
      <c r="A1" s="27" t="inlineStr">
        <is>
          <t>CRM — Pessoas para Validar a Dor de Mercado (Elo Varejo)</t>
        </is>
      </c>
    </row>
    <row r="3" ht="27.75" customHeight="1" s="22">
      <c r="A3" s="28" t="inlineStr">
        <is>
          <t>Nome</t>
        </is>
      </c>
      <c r="B3" s="28" t="inlineStr">
        <is>
          <t>Empresa / Papel</t>
        </is>
      </c>
      <c r="C3" s="28" t="inlineStr">
        <is>
          <t>Como conheço</t>
        </is>
      </c>
      <c r="D3" s="28" t="inlineStr">
        <is>
          <t>Status</t>
        </is>
      </c>
      <c r="E3" s="28" t="inlineStr">
        <is>
          <t>Eixo narrativo a usar</t>
        </is>
      </c>
      <c r="F3" s="28" t="inlineStr">
        <is>
          <t>Próxima ação</t>
        </is>
      </c>
      <c r="G3" s="28" t="inlineStr">
        <is>
          <t>Prazo</t>
        </is>
      </c>
    </row>
    <row r="4" ht="39.75" customHeight="1" s="22">
      <c r="A4" s="39" t="inlineStr">
        <is>
          <t>Bruno Dias</t>
        </is>
      </c>
      <c r="B4" s="39" t="inlineStr">
        <is>
          <t>Head of Engineering &amp; Data, Zippi (ex-Diretor de Ops, VTEX)</t>
        </is>
      </c>
      <c r="C4" s="39" t="inlineStr">
        <is>
          <t>Mentor oficial Future Lab</t>
        </is>
      </c>
      <c r="D4" s="39" t="inlineStr">
        <is>
          <t>Reunião já feita — aguardando gravação</t>
        </is>
      </c>
      <c r="E4" s="39" t="inlineStr">
        <is>
          <t>Validação técnica: 'você viu essa bagunça de dado por dentro da VTEX'</t>
        </is>
      </c>
      <c r="F4" s="39" t="inlineStr">
        <is>
          <t>Pedir a gravação da reunião + intros da rede dele</t>
        </is>
      </c>
      <c r="G4" s="39" t="inlineStr">
        <is>
          <t>Antes de qui 24/07</t>
        </is>
      </c>
    </row>
    <row r="5" ht="39.75" customHeight="1" s="22">
      <c r="A5" s="39" t="inlineStr">
        <is>
          <t>Daniel Soares</t>
        </is>
      </c>
      <c r="B5" s="39" t="inlineStr">
        <is>
          <t>Solomon (e-commerce) — entrevista prévia p/ founding sales exec</t>
        </is>
      </c>
      <c r="C5" s="39" t="inlineStr">
        <is>
          <t>Contato profissional pré-existente</t>
        </is>
      </c>
      <c r="D5" s="39" t="inlineStr">
        <is>
          <t>A contatar</t>
        </is>
      </c>
      <c r="E5" s="39" t="inlineStr">
        <is>
          <t>Continuidade de relação: 'quero validar um projeto com quem já entende e-commerce de verdade'</t>
        </is>
      </c>
      <c r="F5" s="39" t="inlineStr">
        <is>
          <t>Mandar mensagem propondo consulta/agenda</t>
        </is>
      </c>
      <c r="G5" s="39" t="inlineStr">
        <is>
          <t>Hoje</t>
        </is>
      </c>
    </row>
    <row r="6" ht="39.75" customHeight="1" s="22">
      <c r="A6" s="39" t="inlineStr">
        <is>
          <t>Lucas Bacic</t>
        </is>
      </c>
      <c r="B6" s="39" t="inlineStr">
        <is>
          <t>CPO, Loja Integrada (ex-VTEX, IPO NYSE)</t>
        </is>
      </c>
      <c r="C6" s="39" t="inlineStr">
        <is>
          <t>Mentor Future Lab</t>
        </is>
      </c>
      <c r="D6" s="39" t="inlineStr">
        <is>
          <t>A contatar (office hours)</t>
        </is>
      </c>
      <c r="E6" s="39" t="inlineStr">
        <is>
          <t>Operação real de varejo em escala — terminologia de perda de estoque</t>
        </is>
      </c>
      <c r="F6" s="39" t="inlineStr">
        <is>
          <t>Abordar no bloco de mão na massa (24 ou 25/07)</t>
        </is>
      </c>
      <c r="G6" s="39" t="inlineStr">
        <is>
          <t>24-25/07</t>
        </is>
      </c>
    </row>
    <row r="7" ht="39.75" customHeight="1" s="22">
      <c r="A7" s="39" t="inlineStr">
        <is>
          <t>Gabriel Tiburcio</t>
        </is>
      </c>
      <c r="B7" s="39" t="inlineStr">
        <is>
          <t>Eng. de Produto, Trove (ex-VTEX, mParticle)</t>
        </is>
      </c>
      <c r="C7" s="39" t="inlineStr">
        <is>
          <t>Mentor Future Lab</t>
        </is>
      </c>
      <c r="D7" s="39" t="inlineStr">
        <is>
          <t>A contatar (office hours)</t>
        </is>
      </c>
      <c r="E7" s="39" t="inlineStr">
        <is>
          <t>Segunda referência de operação de varejo em escala</t>
        </is>
      </c>
      <c r="F7" s="39" t="inlineStr">
        <is>
          <t>Abordar no bloco de mão na massa</t>
        </is>
      </c>
      <c r="G7" s="39" t="inlineStr">
        <is>
          <t>24-25/07</t>
        </is>
      </c>
    </row>
    <row r="8" ht="39.75" customHeight="1" s="22">
      <c r="A8" s="39" t="inlineStr">
        <is>
          <t>José Noblecilla</t>
        </is>
      </c>
      <c r="B8" s="39" t="inlineStr">
        <is>
          <t>Head of Tech &amp; AI, Valor Capital (co-fundou Arado)</t>
        </is>
      </c>
      <c r="C8" s="39" t="inlineStr">
        <is>
          <t>Mentor Future Lab</t>
        </is>
      </c>
      <c r="D8" s="39" t="inlineStr">
        <is>
          <t>A contatar (office hours)</t>
        </is>
      </c>
      <c r="E8" s="39" t="inlineStr">
        <is>
          <t>Visão de investidor: motor horizontal vs. índice de nicho único</t>
        </is>
      </c>
      <c r="F8" s="39" t="inlineStr">
        <is>
          <t>Abordar no bloco de mão na massa</t>
        </is>
      </c>
      <c r="G8" s="39" t="inlineStr">
        <is>
          <t>24-25/07</t>
        </is>
      </c>
    </row>
    <row r="9" ht="39.75" customHeight="1" s="22">
      <c r="A9" s="39" t="inlineStr">
        <is>
          <t>Antonio Nakad</t>
        </is>
      </c>
      <c r="B9" s="39" t="inlineStr">
        <is>
          <t>NG Cash (ex-CPTO/CMO, 7M usuários)</t>
        </is>
      </c>
      <c r="C9" s="39" t="inlineStr">
        <is>
          <t>Mentor Future Lab</t>
        </is>
      </c>
      <c r="D9" s="39" t="inlineStr">
        <is>
          <t>A contatar (office hours)</t>
        </is>
      </c>
      <c r="E9" s="39" t="inlineStr">
        <is>
          <t>Como precificar/vender índice pra múltiplos clientes do mesmo setor</t>
        </is>
      </c>
      <c r="F9" s="39" t="inlineStr">
        <is>
          <t>Abordar no bloco de mão na massa</t>
        </is>
      </c>
      <c r="G9" s="39" t="inlineStr">
        <is>
          <t>24-25/07</t>
        </is>
      </c>
    </row>
    <row r="10" ht="39.75" customHeight="1" s="22">
      <c r="A10" s="39" t="inlineStr">
        <is>
          <t>Jorge Tung</t>
        </is>
      </c>
      <c r="B10" s="39" t="inlineStr">
        <is>
          <t>Fractional CPO/Advisor (Microsoft, RD Station, Loggi, Dr.Consulta)</t>
        </is>
      </c>
      <c r="C10" s="39" t="inlineStr">
        <is>
          <t>Mentor Future Lab</t>
        </is>
      </c>
      <c r="D10" s="39" t="inlineStr">
        <is>
          <t>A contatar (office hours)</t>
        </is>
      </c>
      <c r="E10" s="39" t="inlineStr">
        <is>
          <t>Qual setor tocar depois do varejo (seguros, bancos, utilities)</t>
        </is>
      </c>
      <c r="F10" s="39" t="inlineStr">
        <is>
          <t>Abordar no bloco de mão na massa</t>
        </is>
      </c>
      <c r="G10" s="39" t="inlineStr">
        <is>
          <t>24-25/07</t>
        </is>
      </c>
    </row>
    <row r="11" ht="39.75" customHeight="1" s="22">
      <c r="A11" s="39" t="inlineStr">
        <is>
          <t>[Contato via rede do Bruno]</t>
        </is>
      </c>
      <c r="B11" s="39" t="inlineStr">
        <is>
          <t>A confirmar — varejo ou dado</t>
        </is>
      </c>
      <c r="C11" s="39" t="inlineStr">
        <is>
          <t>Intro pendente do Bruno Dias</t>
        </is>
      </c>
      <c r="D11" s="39" t="inlineStr">
        <is>
          <t>Aguardando intro</t>
        </is>
      </c>
      <c r="E11" s="39" t="inlineStr">
        <is>
          <t>A calibrar após saber quem é</t>
        </is>
      </c>
      <c r="F11" s="39" t="inlineStr">
        <is>
          <t>Pedir pro Bruno essa intro específica</t>
        </is>
      </c>
      <c r="G11" s="39" t="inlineStr">
        <is>
          <t>Assim que possível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style="22" min="1" max="1"/>
    <col width="20" customWidth="1" style="22" min="2" max="2"/>
    <col width="50" customWidth="1" style="22" min="3" max="3"/>
    <col width="14" customWidth="1" style="22" min="4" max="4"/>
    <col width="50" customWidth="1" style="22" min="5" max="5"/>
    <col width="18" customWidth="1" style="22" min="6" max="6"/>
    <col width="11" customWidth="1" style="22" min="7" max="7"/>
    <col width="13" customWidth="1" style="22" min="8" max="8"/>
    <col width="13" customWidth="1" style="22" min="9" max="9"/>
    <col width="15" customWidth="1" style="22" min="10" max="10"/>
    <col width="11" customWidth="1" style="22" min="11" max="11"/>
    <col width="16" customWidth="1" style="22" min="12" max="12"/>
  </cols>
  <sheetData>
    <row r="1">
      <c r="A1" s="41" t="inlineStr">
        <is>
          <t>Aprofundamento CFO — Ratios, Benchmarking, Sensibilidade e Teste de Caso (Via S.A.)</t>
        </is>
      </c>
    </row>
    <row r="2" ht="30" customHeight="1" s="22">
      <c r="A2" s="42" t="inlineStr">
        <is>
          <t>Complementa a aba 'Indice Elo Varejo' — atende aos itens 3.3 a 3.7 do Brief_CFO_Analise_Detalhada.docx. Nenhum número novo foi inventado: onde o dado de origem (CPV, Receita Líquida, Dias de Estoque das 6 empresas pendentes) ainda não foi extraído do DFP/ITR, a célula fica marcada 'A PREENCHER' e a fórmula já está pronta para calcular automaticamente assim que o dado real entrar.</t>
        </is>
      </c>
    </row>
    <row r="4">
      <c r="A4" s="43" t="inlineStr">
        <is>
          <t>A) Ratios adicionais — item 3.3 do brief</t>
        </is>
      </c>
    </row>
    <row r="5">
      <c r="A5" s="44" t="inlineStr">
        <is>
          <t>Empresa</t>
        </is>
      </c>
      <c r="B5" s="44" t="inlineStr">
        <is>
          <t>Ticker</t>
        </is>
      </c>
      <c r="C5" s="44" t="inlineStr">
        <is>
          <t>Exercício</t>
        </is>
      </c>
      <c r="D5" s="44" t="inlineStr">
        <is>
          <t>Provisão (t)
R$ mil</t>
        </is>
      </c>
      <c r="E5" s="44" t="inlineStr">
        <is>
          <t>Provisão (t-1)
R$ mil</t>
        </is>
      </c>
      <c r="F5" s="44" t="inlineStr">
        <is>
          <t>Ratio 1
Cresc. YoY Provisão (%)</t>
        </is>
      </c>
      <c r="G5" s="44" t="inlineStr">
        <is>
          <t>CPV
R$ mil</t>
        </is>
      </c>
      <c r="H5" s="44" t="inlineStr">
        <is>
          <t>Ratio 2
Provisão/CPV (%)</t>
        </is>
      </c>
      <c r="I5" s="44" t="inlineStr">
        <is>
          <t>Receita Líquida
R$ mil</t>
        </is>
      </c>
      <c r="J5" s="44" t="inlineStr">
        <is>
          <t>Ratio 3
Provisão/Receita Líq. (%)</t>
        </is>
      </c>
      <c r="K5" s="44" t="inlineStr">
        <is>
          <t>Dias de Estoque</t>
        </is>
      </c>
      <c r="L5" s="44" t="inlineStr">
        <is>
          <t>Ratio 4
(dias de estoque × %provisão)</t>
        </is>
      </c>
    </row>
    <row r="6">
      <c r="A6" s="45" t="inlineStr">
        <is>
          <t>Magazine Luiza S.A.</t>
        </is>
      </c>
      <c r="B6" s="45">
        <f>('Indice Elo Varejo'!B5)</f>
        <v/>
      </c>
      <c r="C6" s="45">
        <f>('Indice Elo Varejo'!C5)</f>
        <v/>
      </c>
      <c r="D6" s="46">
        <f>-'Indice Elo Varejo'!F5</f>
        <v/>
      </c>
      <c r="E6" s="46">
        <f>-'Indice Elo Varejo'!F6</f>
        <v/>
      </c>
      <c r="F6" s="47">
        <f>(D6-E6)/E6</f>
        <v/>
      </c>
      <c r="G6" s="48" t="inlineStr">
        <is>
          <t>A PREENCHER</t>
        </is>
      </c>
      <c r="H6" s="47">
        <f>IFERROR(D6/G6,"A PREENCHER")</f>
        <v/>
      </c>
      <c r="I6" s="48" t="inlineStr">
        <is>
          <t>A PREENCHER</t>
        </is>
      </c>
      <c r="J6" s="47">
        <f>IFERROR(D6/I6,"A PREENCHER")</f>
        <v/>
      </c>
      <c r="K6" s="48" t="inlineStr">
        <is>
          <t>A PREENCHER</t>
        </is>
      </c>
      <c r="L6" s="45">
        <f>IFERROR(K6*H6,"A PREENCHER")</f>
        <v/>
      </c>
    </row>
    <row r="7">
      <c r="A7" s="49" t="inlineStr">
        <is>
          <t>Via S.A. (Casas Bahia/Ponto)</t>
        </is>
      </c>
      <c r="B7" s="48" t="inlineStr">
        <is>
          <t>A EXTRAIR</t>
        </is>
      </c>
      <c r="C7" s="48" t="inlineStr">
        <is>
          <t>A EXTRAIR</t>
        </is>
      </c>
      <c r="D7" s="48" t="inlineStr">
        <is>
          <t>A EXTRAIR</t>
        </is>
      </c>
      <c r="E7" s="48" t="inlineStr">
        <is>
          <t>A EXTRAIR</t>
        </is>
      </c>
      <c r="F7" s="48" t="inlineStr">
        <is>
          <t>A EXTRAIR</t>
        </is>
      </c>
      <c r="G7" s="48" t="inlineStr">
        <is>
          <t>A EXTRAIR</t>
        </is>
      </c>
      <c r="H7" s="48" t="inlineStr">
        <is>
          <t>A EXTRAIR</t>
        </is>
      </c>
      <c r="I7" s="48" t="inlineStr">
        <is>
          <t>A EXTRAIR</t>
        </is>
      </c>
      <c r="J7" s="48" t="inlineStr">
        <is>
          <t>A EXTRAIR</t>
        </is>
      </c>
      <c r="K7" s="48" t="inlineStr">
        <is>
          <t>A EXTRAIR</t>
        </is>
      </c>
      <c r="L7" s="48" t="inlineStr">
        <is>
          <t>A EXTRAIR</t>
        </is>
      </c>
    </row>
    <row r="8">
      <c r="A8" s="49" t="inlineStr">
        <is>
          <t>Lojas Renner S.A.</t>
        </is>
      </c>
      <c r="B8" s="48" t="inlineStr">
        <is>
          <t>A EXTRAIR</t>
        </is>
      </c>
      <c r="C8" s="48" t="inlineStr">
        <is>
          <t>A EXTRAIR</t>
        </is>
      </c>
      <c r="D8" s="48" t="inlineStr">
        <is>
          <t>A EXTRAIR</t>
        </is>
      </c>
      <c r="E8" s="48" t="inlineStr">
        <is>
          <t>A EXTRAIR</t>
        </is>
      </c>
      <c r="F8" s="48" t="inlineStr">
        <is>
          <t>A EXTRAIR</t>
        </is>
      </c>
      <c r="G8" s="48" t="inlineStr">
        <is>
          <t>A EXTRAIR</t>
        </is>
      </c>
      <c r="H8" s="48" t="inlineStr">
        <is>
          <t>A EXTRAIR</t>
        </is>
      </c>
      <c r="I8" s="48" t="inlineStr">
        <is>
          <t>A EXTRAIR</t>
        </is>
      </c>
      <c r="J8" s="48" t="inlineStr">
        <is>
          <t>A EXTRAIR</t>
        </is>
      </c>
      <c r="K8" s="48" t="inlineStr">
        <is>
          <t>A EXTRAIR</t>
        </is>
      </c>
      <c r="L8" s="48" t="inlineStr">
        <is>
          <t>A EXTRAIR</t>
        </is>
      </c>
    </row>
    <row r="9">
      <c r="A9" s="49" t="inlineStr">
        <is>
          <t>C&amp;A Modas S.A.</t>
        </is>
      </c>
      <c r="B9" s="48" t="inlineStr">
        <is>
          <t>A EXTRAIR</t>
        </is>
      </c>
      <c r="C9" s="48" t="inlineStr">
        <is>
          <t>A EXTRAIR</t>
        </is>
      </c>
      <c r="D9" s="48" t="inlineStr">
        <is>
          <t>A EXTRAIR</t>
        </is>
      </c>
      <c r="E9" s="48" t="inlineStr">
        <is>
          <t>A EXTRAIR</t>
        </is>
      </c>
      <c r="F9" s="48" t="inlineStr">
        <is>
          <t>A EXTRAIR</t>
        </is>
      </c>
      <c r="G9" s="48" t="inlineStr">
        <is>
          <t>A EXTRAIR</t>
        </is>
      </c>
      <c r="H9" s="48" t="inlineStr">
        <is>
          <t>A EXTRAIR</t>
        </is>
      </c>
      <c r="I9" s="48" t="inlineStr">
        <is>
          <t>A EXTRAIR</t>
        </is>
      </c>
      <c r="J9" s="48" t="inlineStr">
        <is>
          <t>A EXTRAIR</t>
        </is>
      </c>
      <c r="K9" s="48" t="inlineStr">
        <is>
          <t>A EXTRAIR</t>
        </is>
      </c>
      <c r="L9" s="48" t="inlineStr">
        <is>
          <t>A EXTRAIR</t>
        </is>
      </c>
    </row>
    <row r="10">
      <c r="A10" s="49" t="inlineStr">
        <is>
          <t>Assaí Atacadista</t>
        </is>
      </c>
      <c r="B10" s="48" t="inlineStr">
        <is>
          <t>A EXTRAIR</t>
        </is>
      </c>
      <c r="C10" s="48" t="inlineStr">
        <is>
          <t>A EXTRAIR</t>
        </is>
      </c>
      <c r="D10" s="48" t="inlineStr">
        <is>
          <t>A EXTRAIR</t>
        </is>
      </c>
      <c r="E10" s="48" t="inlineStr">
        <is>
          <t>A EXTRAIR</t>
        </is>
      </c>
      <c r="F10" s="48" t="inlineStr">
        <is>
          <t>A EXTRAIR</t>
        </is>
      </c>
      <c r="G10" s="48" t="inlineStr">
        <is>
          <t>A EXTRAIR</t>
        </is>
      </c>
      <c r="H10" s="48" t="inlineStr">
        <is>
          <t>A EXTRAIR</t>
        </is>
      </c>
      <c r="I10" s="48" t="inlineStr">
        <is>
          <t>A EXTRAIR</t>
        </is>
      </c>
      <c r="J10" s="48" t="inlineStr">
        <is>
          <t>A EXTRAIR</t>
        </is>
      </c>
      <c r="K10" s="48" t="inlineStr">
        <is>
          <t>A EXTRAIR</t>
        </is>
      </c>
      <c r="L10" s="48" t="inlineStr">
        <is>
          <t>A EXTRAIR</t>
        </is>
      </c>
    </row>
    <row r="11">
      <c r="A11" s="49" t="inlineStr">
        <is>
          <t>Grupo SBF (Centauro)</t>
        </is>
      </c>
      <c r="B11" s="48" t="inlineStr">
        <is>
          <t>A EXTRAIR</t>
        </is>
      </c>
      <c r="C11" s="48" t="inlineStr">
        <is>
          <t>A EXTRAIR</t>
        </is>
      </c>
      <c r="D11" s="48" t="inlineStr">
        <is>
          <t>A EXTRAIR</t>
        </is>
      </c>
      <c r="E11" s="48" t="inlineStr">
        <is>
          <t>A EXTRAIR</t>
        </is>
      </c>
      <c r="F11" s="48" t="inlineStr">
        <is>
          <t>A EXTRAIR</t>
        </is>
      </c>
      <c r="G11" s="48" t="inlineStr">
        <is>
          <t>A EXTRAIR</t>
        </is>
      </c>
      <c r="H11" s="48" t="inlineStr">
        <is>
          <t>A EXTRAIR</t>
        </is>
      </c>
      <c r="I11" s="48" t="inlineStr">
        <is>
          <t>A EXTRAIR</t>
        </is>
      </c>
      <c r="J11" s="48" t="inlineStr">
        <is>
          <t>A EXTRAIR</t>
        </is>
      </c>
      <c r="K11" s="48" t="inlineStr">
        <is>
          <t>A EXTRAIR</t>
        </is>
      </c>
      <c r="L11" s="48" t="inlineStr">
        <is>
          <t>A EXTRAIR</t>
        </is>
      </c>
    </row>
    <row r="12">
      <c r="A12" s="49" t="inlineStr">
        <is>
          <t>Marisa Lojas S.A.</t>
        </is>
      </c>
      <c r="B12" s="48" t="inlineStr">
        <is>
          <t>A EXTRAIR</t>
        </is>
      </c>
      <c r="C12" s="48" t="inlineStr">
        <is>
          <t>A EXTRAIR</t>
        </is>
      </c>
      <c r="D12" s="48" t="inlineStr">
        <is>
          <t>A EXTRAIR</t>
        </is>
      </c>
      <c r="E12" s="48" t="inlineStr">
        <is>
          <t>A EXTRAIR</t>
        </is>
      </c>
      <c r="F12" s="48" t="inlineStr">
        <is>
          <t>A EXTRAIR</t>
        </is>
      </c>
      <c r="G12" s="48" t="inlineStr">
        <is>
          <t>A EXTRAIR</t>
        </is>
      </c>
      <c r="H12" s="48" t="inlineStr">
        <is>
          <t>A EXTRAIR</t>
        </is>
      </c>
      <c r="I12" s="48" t="inlineStr">
        <is>
          <t>A EXTRAIR</t>
        </is>
      </c>
      <c r="J12" s="48" t="inlineStr">
        <is>
          <t>A EXTRAIR</t>
        </is>
      </c>
      <c r="K12" s="48" t="inlineStr">
        <is>
          <t>A EXTRAIR</t>
        </is>
      </c>
      <c r="L12" s="48" t="inlineStr">
        <is>
          <t>A EXTRAIR</t>
        </is>
      </c>
    </row>
    <row r="14" ht="28" customHeight="1" s="22">
      <c r="A14" s="50" t="inlineStr">
        <is>
          <t>Fonte: Provisão (t) e (t-1) de Magazine Luiza vêm da aba 'Indice Elo Varejo' (linhas 5-6, real, Nota 9 Estoques, DF 31/12/2023, Ernst &amp; Young). CPV, Receita Líquida e Dias de Estoque ainda não foram extraídos nesta rodada — ver ação recomendada na aba 'CFO - Premissas e Metodologia'.</t>
        </is>
      </c>
    </row>
    <row r="16">
      <c r="A16" s="43" t="inlineStr">
        <is>
          <t>B) Benchmarking estatístico entre empresas — item 3.4 do brief</t>
        </is>
      </c>
    </row>
    <row r="17">
      <c r="A17" s="44" t="inlineStr">
        <is>
          <t>Empresa</t>
        </is>
      </c>
      <c r="B17" s="44" t="inlineStr">
        <is>
          <t>% Provisão/Estoque bruto</t>
        </is>
      </c>
      <c r="C17" s="44" t="inlineStr">
        <is>
          <t>Z-score</t>
        </is>
      </c>
      <c r="D17" s="44" t="inlineStr">
        <is>
          <t>Percentil no grupo</t>
        </is>
      </c>
      <c r="E17" s="44" t="inlineStr">
        <is>
          <t>Outlier (&gt;1 desvio)?</t>
        </is>
      </c>
    </row>
    <row r="18">
      <c r="A18" s="45">
        <f>('Indice Elo Varejo'!A5)</f>
        <v/>
      </c>
      <c r="B18" s="47">
        <f>'Indice Elo Varejo'!H5</f>
        <v/>
      </c>
      <c r="C18" s="45">
        <f>IFERROR((B18-AVERAGE($B$18:$B$24))/STDEV($B$18:$B$24),"n/d (n&lt;2)")</f>
        <v/>
      </c>
      <c r="D18" s="51">
        <f>IFERROR(PERCENTRANK($B$18:$B$24,B18),"n/d (n&lt;2)")</f>
        <v/>
      </c>
      <c r="E18" s="52">
        <f>IFERROR(IF(ABS(C18)&gt;1,"SIM","não"),"n/d")</f>
        <v/>
      </c>
    </row>
    <row r="19">
      <c r="A19" s="45">
        <f>'Indice Elo Varejo'!A7</f>
        <v/>
      </c>
      <c r="B19" s="47">
        <f>IF(ISNUMBER('Indice Elo Varejo'!H7),'Indice Elo Varejo'!H7,"A EXTRAIR")</f>
        <v/>
      </c>
      <c r="C19" s="45">
        <f>IF(ISNUMBER(B19),IFERROR((B19-AVERAGE($B$18:$B$24))/STDEV($B$18:$B$24),"n/d"),"n/d")</f>
        <v/>
      </c>
      <c r="D19" s="51">
        <f>IF(ISNUMBER(B19),IFERROR(PERCENTRANK($B$18:$B$24,B19),"n/d"),"n/d")</f>
        <v/>
      </c>
      <c r="E19" s="52">
        <f>IF(ISNUMBER(C19),IF(ABS(C19)&gt;1,"SIM","não"),"n/d")</f>
        <v/>
      </c>
    </row>
    <row r="20">
      <c r="A20" s="45">
        <f>'Indice Elo Varejo'!A8</f>
        <v/>
      </c>
      <c r="B20" s="47">
        <f>IF(ISNUMBER('Indice Elo Varejo'!H8),'Indice Elo Varejo'!H8,"A EXTRAIR")</f>
        <v/>
      </c>
      <c r="C20" s="45">
        <f>IF(ISNUMBER(B20),IFERROR((B20-AVERAGE($B$18:$B$24))/STDEV($B$18:$B$24),"n/d"),"n/d")</f>
        <v/>
      </c>
      <c r="D20" s="51">
        <f>IF(ISNUMBER(B20),IFERROR(PERCENTRANK($B$18:$B$24,B20),"n/d"),"n/d")</f>
        <v/>
      </c>
      <c r="E20" s="52">
        <f>IF(ISNUMBER(C20),IF(ABS(C20)&gt;1,"SIM","não"),"n/d")</f>
        <v/>
      </c>
    </row>
    <row r="21">
      <c r="A21" s="45">
        <f>'Indice Elo Varejo'!A9</f>
        <v/>
      </c>
      <c r="B21" s="47">
        <f>IF(ISNUMBER('Indice Elo Varejo'!H9),'Indice Elo Varejo'!H9,"A EXTRAIR")</f>
        <v/>
      </c>
      <c r="C21" s="45">
        <f>IF(ISNUMBER(B21),IFERROR((B21-AVERAGE($B$18:$B$24))/STDEV($B$18:$B$24),"n/d"),"n/d")</f>
        <v/>
      </c>
      <c r="D21" s="51">
        <f>IF(ISNUMBER(B21),IFERROR(PERCENTRANK($B$18:$B$24,B21),"n/d"),"n/d")</f>
        <v/>
      </c>
      <c r="E21" s="52">
        <f>IF(ISNUMBER(C21),IF(ABS(C21)&gt;1,"SIM","não"),"n/d")</f>
        <v/>
      </c>
    </row>
    <row r="22">
      <c r="A22" s="45">
        <f>'Indice Elo Varejo'!A10</f>
        <v/>
      </c>
      <c r="B22" s="47">
        <f>IF(ISNUMBER('Indice Elo Varejo'!H10),'Indice Elo Varejo'!H10,"A EXTRAIR")</f>
        <v/>
      </c>
      <c r="C22" s="45">
        <f>IF(ISNUMBER(B22),IFERROR((B22-AVERAGE($B$18:$B$24))/STDEV($B$18:$B$24),"n/d"),"n/d")</f>
        <v/>
      </c>
      <c r="D22" s="51">
        <f>IF(ISNUMBER(B22),IFERROR(PERCENTRANK($B$18:$B$24,B22),"n/d"),"n/d")</f>
        <v/>
      </c>
      <c r="E22" s="52">
        <f>IF(ISNUMBER(C22),IF(ABS(C22)&gt;1,"SIM","não"),"n/d")</f>
        <v/>
      </c>
    </row>
    <row r="23">
      <c r="A23" s="45">
        <f>'Indice Elo Varejo'!A11</f>
        <v/>
      </c>
      <c r="B23" s="47">
        <f>IF(ISNUMBER('Indice Elo Varejo'!H11),'Indice Elo Varejo'!H11,"A EXTRAIR")</f>
        <v/>
      </c>
      <c r="C23" s="45">
        <f>IF(ISNUMBER(B23),IFERROR((B23-AVERAGE($B$18:$B$24))/STDEV($B$18:$B$24),"n/d"),"n/d")</f>
        <v/>
      </c>
      <c r="D23" s="51">
        <f>IF(ISNUMBER(B23),IFERROR(PERCENTRANK($B$18:$B$24,B23),"n/d"),"n/d")</f>
        <v/>
      </c>
      <c r="E23" s="52">
        <f>IF(ISNUMBER(C23),IF(ABS(C23)&gt;1,"SIM","não"),"n/d")</f>
        <v/>
      </c>
    </row>
    <row r="24">
      <c r="A24" s="45">
        <f>'Indice Elo Varejo'!A12</f>
        <v/>
      </c>
      <c r="B24" s="47">
        <f>IF(ISNUMBER('Indice Elo Varejo'!H12),'Indice Elo Varejo'!H12,"A EXTRAIR")</f>
        <v/>
      </c>
      <c r="C24" s="45">
        <f>IF(ISNUMBER(B24),IFERROR((B24-AVERAGE($B$18:$B$24))/STDEV($B$18:$B$24),"n/d"),"n/d")</f>
        <v/>
      </c>
      <c r="D24" s="51">
        <f>IF(ISNUMBER(B24),IFERROR(PERCENTRANK($B$18:$B$24,B24),"n/d"),"n/d")</f>
        <v/>
      </c>
      <c r="E24" s="52">
        <f>IF(ISNUMBER(C24),IF(ABS(C24)&gt;1,"SIM","não"),"n/d")</f>
        <v/>
      </c>
    </row>
    <row r="25">
      <c r="A25" s="53" t="inlineStr">
        <is>
          <t>Média do grupo</t>
        </is>
      </c>
      <c r="B25" s="54">
        <f>IFERROR(AVERAGE($B$18:$B$24),"n/d")</f>
        <v/>
      </c>
    </row>
    <row r="26">
      <c r="A26" s="53" t="inlineStr">
        <is>
          <t>Desvio padrão do grupo</t>
        </is>
      </c>
      <c r="B26" s="54">
        <f>IFERROR(STDEV($B$18:$B$24),"n/d")</f>
        <v/>
      </c>
    </row>
    <row r="28" ht="42" customHeight="1" s="22">
      <c r="A28" s="50" t="inlineStr">
        <is>
          <t>Nota de rigor: com n=1 (apenas Magazine Luiza real), desvio padrão e percentil não são estatisticamente robustos — as fórmulas já estão prontas e recalculam automaticamente à medida que as 6 linhas 'A EXTRAIR' forem preenchidas na aba 'Indice Elo Varejo'. Meta mínima de rigor estatístico: n≥5 empresas (ver item 3.4 do brief).</t>
        </is>
      </c>
    </row>
    <row r="30">
      <c r="A30" s="43" t="inlineStr">
        <is>
          <t>C) Sensibilidade em R$ — item 3.7 do brief (quanto 1p.p. de provisão representa em R$)</t>
        </is>
      </c>
    </row>
    <row r="31">
      <c r="A31" s="44" t="inlineStr">
        <is>
          <t>Empresa</t>
        </is>
      </c>
      <c r="B31" s="44" t="inlineStr">
        <is>
          <t>Estoque bruto (R$ mil)</t>
        </is>
      </c>
      <c r="C31" s="44" t="inlineStr">
        <is>
          <t>Provisão atual (R$ mil)</t>
        </is>
      </c>
      <c r="D31" s="44" t="inlineStr">
        <is>
          <t>Provisão atual (%)</t>
        </is>
      </c>
      <c r="E31" s="44" t="inlineStr">
        <is>
          <t>Impacto de 1p.p. adicional
(R$ mil)</t>
        </is>
      </c>
      <c r="F31" s="44" t="inlineStr">
        <is>
          <t>Impacto de 1p.p. adicional
(R$ milhões)</t>
        </is>
      </c>
    </row>
    <row r="32">
      <c r="A32" s="45">
        <f>('Indice Elo Varejo'!A5)</f>
        <v/>
      </c>
      <c r="B32" s="46">
        <f>'Indice Elo Varejo'!E5</f>
        <v/>
      </c>
      <c r="C32" s="46">
        <f>-'Indice Elo Varejo'!F5</f>
        <v/>
      </c>
      <c r="D32" s="47">
        <f>'Indice Elo Varejo'!H5</f>
        <v/>
      </c>
      <c r="E32" s="46">
        <f>B32*1%</f>
        <v/>
      </c>
      <c r="F32" s="55">
        <f>E32/1000</f>
        <v/>
      </c>
    </row>
    <row r="34" ht="42" customHeight="1" s="22">
      <c r="A34" s="50" t="inlineStr">
        <is>
          <t>Leitura: para a Magazine Luiza, cada 1 ponto percentual adicional (ou a menos) no índice de provisão/estoque bruto equivale a ≈ R$ 76,8 milhões de impacto direto — o número que transforma "2,34% de provisão" (abstrato) em uma cifra que qualquer CFO ou conselho aloca instantaneamente. Esta é a âncora de valor usada na aba 'CFO - Precificação e Mercado' para justificar o ACV cobrado.</t>
        </is>
      </c>
    </row>
    <row r="36">
      <c r="A36" s="43" t="inlineStr">
        <is>
          <t>D) Teste de caso — Via S.A. (item 3.5 do brief, maior valor esperado de todo o aprofundamento)</t>
        </is>
      </c>
    </row>
    <row r="37">
      <c r="A37" s="44" t="inlineStr">
        <is>
          <t>Métrica</t>
        </is>
      </c>
      <c r="B37" s="44" t="inlineStr">
        <is>
          <t>2023</t>
        </is>
      </c>
      <c r="C37" s="44" t="inlineStr">
        <is>
          <t>2024</t>
        </is>
      </c>
      <c r="D37" s="44" t="inlineStr">
        <is>
          <t>Variação</t>
        </is>
      </c>
      <c r="E37" s="44" t="inlineStr">
        <is>
          <t>Fonte</t>
        </is>
      </c>
    </row>
    <row r="38">
      <c r="A38" s="45" t="inlineStr">
        <is>
          <t>Prejuízo líquido (R$ bi)</t>
        </is>
      </c>
      <c r="B38" s="56" t="n">
        <v>2.625</v>
      </c>
      <c r="C38" s="56" t="n">
        <v>1.045</v>
      </c>
      <c r="D38" s="57">
        <f>(C38-B38)/B38</f>
        <v/>
      </c>
      <c r="E38" s="50" t="inlineStr">
        <is>
          <t>Real — imprensa (Seu Dinheiro, CNN Brasil) + demonstrações da Via; já citado na aba 'Mercado - Contexto', linha 11</t>
        </is>
      </c>
    </row>
    <row r="39">
      <c r="A39" s="45" t="inlineStr">
        <is>
          <t>Lojas fechadas no período (plano de reestruturação)</t>
        </is>
      </c>
      <c r="B39" s="52" t="inlineStr">
        <is>
          <t>—</t>
        </is>
      </c>
      <c r="C39" s="58" t="n">
        <v>55</v>
      </c>
      <c r="D39" s="52" t="inlineStr">
        <is>
          <t>—</t>
        </is>
      </c>
      <c r="E39" s="50" t="inlineStr">
        <is>
          <t>Real — mesma fonte de imprensa citada na aba 'Mercado - Contexto'</t>
        </is>
      </c>
    </row>
    <row r="40">
      <c r="A40" s="45" t="inlineStr">
        <is>
          <t>Redução de estoque anunciada (R$ bi)</t>
        </is>
      </c>
      <c r="B40" s="52" t="inlineStr">
        <is>
          <t>—</t>
        </is>
      </c>
      <c r="C40" s="59" t="inlineStr">
        <is>
          <t>&gt;1,0</t>
        </is>
      </c>
      <c r="D40" s="52" t="inlineStr">
        <is>
          <t>—</t>
        </is>
      </c>
      <c r="E40" s="50" t="inlineStr">
        <is>
          <t>Real — plano de reestruturação Via, mesma fonte</t>
        </is>
      </c>
    </row>
    <row r="41" ht="40" customHeight="1" s="22">
      <c r="A41" s="49" t="inlineStr">
        <is>
          <t>% Provisão/Estoque bruto (índice Elo) 2021–2024</t>
        </is>
      </c>
      <c r="B41" s="48" t="inlineStr">
        <is>
          <t>A CONFIRMAR</t>
        </is>
      </c>
      <c r="C41" s="48" t="inlineStr">
        <is>
          <t>A CONFIRMAR</t>
        </is>
      </c>
      <c r="D41" s="48" t="inlineStr">
        <is>
          <t>A CONFIRMAR</t>
        </is>
      </c>
      <c r="E41" s="60" t="inlineStr">
        <is>
          <t>PENDENTE — este é o dado que realmente resolve o item 3.5. Ação recomendada: extrair a Nota Explicativa de Estoques do DFP/ITR da Via S.A. (VIIA3) em dados.cvm.gov.br para os exercícios 2021–2024 e comparar a trajetória com a média do setor (aba B acima).</t>
        </is>
      </c>
    </row>
    <row r="43" ht="56" customHeight="1" s="22">
      <c r="A43" s="50" t="inlineStr">
        <is>
          <t>Leitura honesta (sem o dado pendente): o prejuízo líquido da Via melhorou 60,2% entre 2023 e 2024 e a companhia reduziu estoque em &gt;R$1 bi como parte do plano de reestruturação — ou seja, os sinais públicos disponíveis hoje mostram a Via em processo de correção, não em piora contínua. Isso NÃO confirma nem refuta a hipótese do brief (de que o índice de perda de estoque da Via "andou pior que a média do setor nos anos que antecederam" a dificuldade) — essa pergunta só se responde com a série 2021-2023 do índice real, que segue pendente. Não presumir a resposta.</t>
        </is>
      </c>
    </row>
    <row r="45">
      <c r="A45" s="43" t="inlineStr">
        <is>
          <t>E) Cruzamento com a 9ª Pesquisa Abrappe/Protiviti — item 3.6 do brief</t>
        </is>
      </c>
    </row>
    <row r="46">
      <c r="A46" s="44" t="inlineStr">
        <is>
          <t>Métrica</t>
        </is>
      </c>
      <c r="B46" s="44" t="inlineStr">
        <is>
          <t>Valor</t>
        </is>
      </c>
      <c r="C46" s="44" t="inlineStr">
        <is>
          <t>Fonte</t>
        </is>
      </c>
    </row>
    <row r="47">
      <c r="A47" s="61" t="inlineStr">
        <is>
          <t>% Provisão/Estoque bruto — Magazine Luiza (Eletromóveis), 2023</t>
        </is>
      </c>
      <c r="B47" s="47">
        <f>'Indice Elo Varejo'!H5</f>
        <v/>
      </c>
      <c r="C47" s="62" t="inlineStr">
        <is>
          <t>Real — ver aba 'Indice Elo Varejo'</t>
        </is>
      </c>
    </row>
    <row r="48">
      <c r="A48" s="61" t="inlineStr">
        <is>
          <t>Índice médio geral de perdas do varejo, 2025 (todos os segmentos)</t>
        </is>
      </c>
      <c r="B48" s="63" t="n">
        <v>0.0165</v>
      </c>
      <c r="C48" s="50" t="inlineStr">
        <is>
          <t>Real — 9ª Pesquisa Abrappe/Protiviti 2025 (aba 'Mercado - Contexto', linha 5)</t>
        </is>
      </c>
    </row>
    <row r="49">
      <c r="A49" s="45" t="inlineStr">
        <is>
          <t>Diferença absoluta (p.p.)</t>
        </is>
      </c>
      <c r="B49" s="47">
        <f>B47-B48</f>
        <v/>
      </c>
      <c r="C49" s="62" t="inlineStr">
        <is>
          <t>Fórmula = B47-B48</t>
        </is>
      </c>
    </row>
    <row r="50">
      <c r="A50" s="61" t="inlineStr">
        <is>
          <t>Magazine Luiza roda quanto acima/abaixo da média geral do setor (%)</t>
        </is>
      </c>
      <c r="B50" s="57">
        <f>B47/B48-1</f>
        <v/>
      </c>
      <c r="C50" s="62" t="inlineStr">
        <is>
          <t>Fórmula = B47/B48-1</t>
        </is>
      </c>
    </row>
    <row r="52" ht="56" customHeight="1" s="22">
      <c r="A52" s="50" t="inlineStr">
        <is>
          <t>Leitura: a Magazine Luiza — a única linha 100% real da base — roda ~42% ACIMA da média geral de perdas do varejo brasileiro, consistente com o sinal setorial já apontado de fora pela pesquisa Abrappe/Protiviti (Eletromóveis é o segmento com pior deterioração: perda total +278,2% e perda NÃO IDENTIFICADA +641,8% no ano). O sinal do balanço bate com o sinal da pesquisa setorial — é a primeira confirmação cruzada (dado próprio × dado de terceiro) que a tese do Elo Varejo precisa.</t>
        </is>
      </c>
    </row>
    <row r="54">
      <c r="A54" s="43" t="inlineStr">
        <is>
          <t>Convenção de cor:</t>
        </is>
      </c>
    </row>
    <row r="55">
      <c r="A55" s="64" t="inlineStr">
        <is>
          <t>Azul = dado real, digitado a partir de fonte citada  ·  Preto = fórmula  ·  Amarelo = placeholder a preencher  ·  Verde = premissa de modelagem do CFO (cenário/estimativa, não é fato verificado — distinta de dado real citado).</t>
        </is>
      </c>
    </row>
  </sheetData>
  <mergeCells count="7">
    <mergeCell ref="A2:L2"/>
    <mergeCell ref="A43:E43"/>
    <mergeCell ref="A28:E28"/>
    <mergeCell ref="A14:L14"/>
    <mergeCell ref="A34:F34"/>
    <mergeCell ref="A55:L55"/>
    <mergeCell ref="A52:C5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2" min="1" max="1"/>
    <col width="26" customWidth="1" style="22" min="2" max="2"/>
    <col width="16" customWidth="1" style="22" min="3" max="3"/>
    <col width="16" customWidth="1" style="22" min="4" max="4"/>
    <col width="16" customWidth="1" style="22" min="5" max="5"/>
    <col width="20" customWidth="1" style="22" min="6" max="6"/>
    <col width="55" customWidth="1" style="22" min="7" max="7"/>
  </cols>
  <sheetData>
    <row r="1">
      <c r="A1" s="41" t="inlineStr">
        <is>
          <t>CFO — Arquitetura de Precificação e Dimensionamento de Mercado (TAM/SAM/SOM)</t>
        </is>
      </c>
    </row>
    <row r="2" ht="30" customHeight="1" s="22">
      <c r="A2" s="42" t="inlineStr">
        <is>
          <t>Precificação por valor (value-based) ancorada na sensibilidade R$/p.p. calculada na aba 'Aprofundamento CFO', seção C. Contagens de universo regulatório citam fonte externa (azul); SAM/SOM e ACVs são premissas de modelagem do CFO (verde) — ver aba de Premissas para o racional.</t>
        </is>
      </c>
    </row>
    <row r="4">
      <c r="A4" s="43" t="inlineStr">
        <is>
          <t>A) Tiers de assinatura — Elo Varejo (piloto)</t>
        </is>
      </c>
    </row>
    <row r="5">
      <c r="A5" s="44" t="inlineStr">
        <is>
          <t>Tier</t>
        </is>
      </c>
      <c r="B5" s="44" t="inlineStr">
        <is>
          <t>Perfil do cliente</t>
        </is>
      </c>
      <c r="C5" s="44" t="inlineStr">
        <is>
          <t>ACV piso (R$/ano)</t>
        </is>
      </c>
      <c r="D5" s="44" t="inlineStr">
        <is>
          <t>ACV teto (R$/ano)</t>
        </is>
      </c>
      <c r="E5" s="44" t="inlineStr">
        <is>
          <t>ACV médio (R$/ano)</t>
        </is>
      </c>
      <c r="F5" s="44" t="inlineStr">
        <is>
          <t>Impacto de 1p.p. do cliente
(R$ mi, referência MGLU)</t>
        </is>
      </c>
      <c r="G5" s="44" t="inlineStr">
        <is>
          <t>ACV médio como % do
impacto de 1p.p.</t>
        </is>
      </c>
    </row>
    <row r="6">
      <c r="A6" s="65" t="inlineStr">
        <is>
          <t>Growth</t>
        </is>
      </c>
      <c r="B6" s="66" t="inlineStr">
        <is>
          <t>Redes regionais, &lt;R$500 milhões de receita anual</t>
        </is>
      </c>
      <c r="C6" s="67" t="n">
        <v>14400</v>
      </c>
      <c r="D6" s="67" t="n">
        <v>24000</v>
      </c>
      <c r="E6" s="46">
        <f>AVERAGE(C6:D6)</f>
        <v/>
      </c>
      <c r="F6" s="55">
        <f>'Aprofundamento CFO'!F32</f>
        <v/>
      </c>
      <c r="G6" s="68">
        <f>E6/(F6*1000000)</f>
        <v/>
      </c>
    </row>
    <row r="7">
      <c r="A7" s="65" t="inlineStr">
        <is>
          <t>Mid-Market</t>
        </is>
      </c>
      <c r="B7" s="66" t="inlineStr">
        <is>
          <t>Redes de porte médio, R$500 milhões–R$5 bilhões de receita</t>
        </is>
      </c>
      <c r="C7" s="67" t="n">
        <v>36000</v>
      </c>
      <c r="D7" s="67" t="n">
        <v>72000</v>
      </c>
      <c r="E7" s="46">
        <f>AVERAGE(C7:D7)</f>
        <v/>
      </c>
      <c r="F7" s="55">
        <f>'Aprofundamento CFO'!F32</f>
        <v/>
      </c>
      <c r="G7" s="68">
        <f>E7/(F7*1000000)</f>
        <v/>
      </c>
    </row>
    <row r="8">
      <c r="A8" s="65" t="inlineStr">
        <is>
          <t>Enterprise</t>
        </is>
      </c>
      <c r="B8" s="66" t="inlineStr">
        <is>
          <t>Grandes redes multi-bandeira, &gt;R$5 bilhões de receita</t>
        </is>
      </c>
      <c r="C8" s="67" t="n">
        <v>96000</v>
      </c>
      <c r="D8" s="67" t="n">
        <v>180000</v>
      </c>
      <c r="E8" s="46">
        <f>AVERAGE(C8:D8)</f>
        <v/>
      </c>
      <c r="F8" s="55">
        <f>'Aprofundamento CFO'!F32</f>
        <v/>
      </c>
      <c r="G8" s="68">
        <f>E8/(F8*1000000)</f>
        <v/>
      </c>
    </row>
    <row r="10" ht="28" customHeight="1" s="22">
      <c r="A10" s="50" t="inlineStr">
        <is>
          <t>Leitura: mesmo no tier Enterprise (R$ 180 mil/ano), o ACV representa menos de 0,25% do valor de 1 único ponto percentual de melhora na provisão de perdas de uma rede do porte da Magazine Luiza — a assinatura se paga long antes de qualquer decisão de compra ser questionada.</t>
        </is>
      </c>
    </row>
    <row r="12">
      <c r="A12" s="43" t="inlineStr">
        <is>
          <t>B) ACV médio ponderado por vertical (motor horizontal)</t>
        </is>
      </c>
    </row>
    <row r="13">
      <c r="A13" s="44" t="inlineStr">
        <is>
          <t>Vertical</t>
        </is>
      </c>
      <c r="B13" s="44" t="inlineStr">
        <is>
          <t>Regulador</t>
        </is>
      </c>
      <c r="C13" s="44" t="inlineStr">
        <is>
          <t>ACV médio (R$/ano)</t>
        </is>
      </c>
      <c r="D13" s="44" t="inlineStr">
        <is>
          <t>Lançamento (mês, cenário-base)</t>
        </is>
      </c>
      <c r="E13" s="44" t="inlineStr">
        <is>
          <t>Racional de preço (premissa CFO)</t>
        </is>
      </c>
    </row>
    <row r="14">
      <c r="A14" s="65" t="inlineStr">
        <is>
          <t>Varejo</t>
        </is>
      </c>
      <c r="B14" s="69" t="inlineStr">
        <is>
          <t>CVM (DFP/ITR)</t>
        </is>
      </c>
      <c r="C14" s="67" t="n">
        <v>45000</v>
      </c>
      <c r="D14" s="70" t="n">
        <v>0</v>
      </c>
      <c r="E14" s="71" t="inlineStr">
        <is>
          <t>Loss Prevention/Risco de redes de varejo — budget menor, ciclo de venda mais curto (via warm intro).</t>
        </is>
      </c>
    </row>
    <row r="15">
      <c r="A15" s="65" t="inlineStr">
        <is>
          <t>Seguros</t>
        </is>
      </c>
      <c r="B15" s="69" t="inlineStr">
        <is>
          <t>SUSEP</t>
        </is>
      </c>
      <c r="C15" s="67" t="n">
        <v>85000</v>
      </c>
      <c r="D15" s="70" t="n">
        <v>9</v>
      </c>
      <c r="E15" s="71" t="inlineStr">
        <is>
          <t>Compliance/Atuarial de seguradoras — budget de risco maior, uso do índice para subscrição/precificação de sinistralidade.</t>
        </is>
      </c>
    </row>
    <row r="16">
      <c r="A16" s="65" t="inlineStr">
        <is>
          <t>Bancos/Fintechs</t>
        </is>
      </c>
      <c r="B16" s="69" t="inlineStr">
        <is>
          <t>BACEN</t>
        </is>
      </c>
      <c r="C16" s="67" t="n">
        <v>70000</v>
      </c>
      <c r="D16" s="70" t="n">
        <v>15</v>
      </c>
      <c r="E16" s="71" t="inlineStr">
        <is>
          <t>Risco de crédito/compliance de instituições financeiras — budget intermediário.</t>
        </is>
      </c>
    </row>
    <row r="17">
      <c r="A17" s="65" t="inlineStr">
        <is>
          <t>Utilities</t>
        </is>
      </c>
      <c r="B17" s="69" t="inlineStr">
        <is>
          <t>ANEEL</t>
        </is>
      </c>
      <c r="C17" s="67" t="n">
        <v>65000</v>
      </c>
      <c r="D17" s="70" t="n">
        <v>22</v>
      </c>
      <c r="E17" s="71" t="inlineStr">
        <is>
          <t>Planejamento de resiliência operacional de distribuidoras — budget regulado, ciclo de compra mais longo.</t>
        </is>
      </c>
    </row>
    <row r="19">
      <c r="A19" s="43" t="inlineStr">
        <is>
          <t>C) Dimensionamento TAM / SAM / SOM</t>
        </is>
      </c>
    </row>
    <row r="20">
      <c r="A20" s="44" t="inlineStr">
        <is>
          <t>Vertical</t>
        </is>
      </c>
      <c r="B20" s="44" t="inlineStr">
        <is>
          <t>Universo regulado
(entidades)</t>
        </is>
      </c>
      <c r="C20" s="44" t="inlineStr">
        <is>
          <t>Fonte do universo</t>
        </is>
      </c>
      <c r="D20" s="44" t="inlineStr">
        <is>
          <t>Contas-alvo (SAM)
(premissa CFO)</t>
        </is>
      </c>
      <c r="E20" s="44" t="inlineStr">
        <is>
          <t>ACV médio
(R$/ano)</t>
        </is>
      </c>
      <c r="F20" s="44" t="inlineStr">
        <is>
          <t>SAM em R$
(100% penetração)</t>
        </is>
      </c>
    </row>
    <row r="21">
      <c r="A21" s="45" t="inlineStr">
        <is>
          <t>Varejo (CVM)</t>
        </is>
      </c>
      <c r="B21" s="72" t="n">
        <v>400</v>
      </c>
      <c r="C21" s="50" t="inlineStr">
        <is>
          <t>B3 — total de companhias listadas (universo bruto, todos os setores; subconjunto de varejo é menor)</t>
        </is>
      </c>
      <c r="D21" s="73" t="n">
        <v>70</v>
      </c>
      <c r="E21" s="67" t="n">
        <v>45000</v>
      </c>
      <c r="F21" s="46">
        <f>D21*E21</f>
        <v/>
      </c>
    </row>
    <row r="22">
      <c r="A22" s="45" t="inlineStr">
        <is>
          <t>Seguros (SUSEP)</t>
        </is>
      </c>
      <c r="B22" s="72" t="n">
        <v>356</v>
      </c>
      <c r="C22" s="50" t="inlineStr">
        <is>
          <t>SUSEP — entidades fiscalizadas (seguradoras, resseguradoras, EAPC, capitalização)</t>
        </is>
      </c>
      <c r="D22" s="73" t="n">
        <v>130</v>
      </c>
      <c r="E22" s="67" t="n">
        <v>85000</v>
      </c>
      <c r="F22" s="46">
        <f>D22*E22</f>
        <v/>
      </c>
    </row>
    <row r="23">
      <c r="A23" s="45" t="inlineStr">
        <is>
          <t>Bancos/Fintechs (BACEN)</t>
        </is>
      </c>
      <c r="B23" s="72" t="n">
        <v>350</v>
      </c>
      <c r="C23" s="50" t="inlineStr">
        <is>
          <t>BACEN — 308 fintechs autorizadas (2025) + bancos tradicionais (ordem de grandeza)</t>
        </is>
      </c>
      <c r="D23" s="73" t="n">
        <v>100</v>
      </c>
      <c r="E23" s="67" t="n">
        <v>70000</v>
      </c>
      <c r="F23" s="46">
        <f>D23*E23</f>
        <v/>
      </c>
    </row>
    <row r="24">
      <c r="A24" s="45" t="inlineStr">
        <is>
          <t>Utilities (ANEEL)</t>
        </is>
      </c>
      <c r="B24" s="72" t="n">
        <v>100</v>
      </c>
      <c r="C24" s="50" t="inlineStr">
        <is>
          <t>ANEEL — 33 grandes distribuidoras + permissionárias menores (ordem de grandeza)</t>
        </is>
      </c>
      <c r="D24" s="73" t="n">
        <v>40</v>
      </c>
      <c r="E24" s="67" t="n">
        <v>65000</v>
      </c>
      <c r="F24" s="46">
        <f>D24*E24</f>
        <v/>
      </c>
    </row>
    <row r="25">
      <c r="A25" s="53" t="inlineStr">
        <is>
          <t>TOTAL</t>
        </is>
      </c>
      <c r="B25" s="74">
        <f>SUM(B21:B24)</f>
        <v/>
      </c>
      <c r="D25" s="74">
        <f>SUM(D21:D24)</f>
        <v/>
      </c>
      <c r="F25" s="74">
        <f>SUM(F21:F24)</f>
        <v/>
      </c>
    </row>
    <row r="27" ht="56" customHeight="1" s="22">
      <c r="A27" s="50" t="inlineStr">
        <is>
          <t>Fontes dos universos regulatórios (dado real, citado): SUSEP (susep.gov.br — entidades fiscalizadas); BACEN (Boletim Demarest / Agência Brasil, dez/2025-jan/2026 — 308 fintechs autorizadas); ANEEL (ranking de continuidade ABRADEE/ANEEL — 33 grandes concessionárias). B3: &gt;400 companhias listadas no total (todos os setores) — fonte: B3/InfoMoney. SAM por vertical é premissa de modelagem do CFO (filtragem por porte/orçamento realista), não uma contagem verificada.</t>
        </is>
      </c>
    </row>
    <row r="29">
      <c r="A29" s="43" t="inlineStr">
        <is>
          <t>Convenção de cor:</t>
        </is>
      </c>
    </row>
    <row r="30">
      <c r="A30" s="64" t="inlineStr">
        <is>
          <t>Azul = dado real, digitado a partir de fonte citada  ·  Preto = fórmula  ·  Amarelo = placeholder a preencher  ·  Verde = premissa de modelagem do CFO (cenário/estimativa, não é fato verificado — distinta de dado real citado).</t>
        </is>
      </c>
    </row>
  </sheetData>
  <mergeCells count="4">
    <mergeCell ref="A30:G30"/>
    <mergeCell ref="A2:G2"/>
    <mergeCell ref="A10:G10"/>
    <mergeCell ref="A27:F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22" min="1" max="1"/>
    <col width="16" customWidth="1" style="22" min="2" max="2"/>
    <col width="16" customWidth="1" style="22" min="3" max="3"/>
    <col width="16" customWidth="1" style="22" min="4" max="4"/>
    <col width="16" customWidth="1" style="22" min="5" max="5"/>
    <col width="16" customWidth="1" style="22" min="6" max="6"/>
    <col width="16" customWidth="1" style="22" min="7" max="7"/>
    <col width="16" customWidth="1" style="22" min="8" max="8"/>
  </cols>
  <sheetData>
    <row r="1">
      <c r="A1" s="41" t="inlineStr">
        <is>
          <t>CFO — Simulação de Monte Carlo (ARR) e Projeção de Valuation</t>
        </is>
      </c>
    </row>
    <row r="2" ht="30" customHeight="1" s="22">
      <c r="A2" s="42" t="inlineStr">
        <is>
          <t>Resultado de simulação estocástica (Python/NumPy, seed=42, 20.000 cenários, 36 meses, 4 verticais) — não são fórmulas nativas do Excel (a estocasticidade não é replicável em fórmula de célula sem macro). Todas as premissas de distribuição estão na aba 'CFO - Premissas e Metodologia' para reprodutibilidade total do modelo.</t>
        </is>
      </c>
    </row>
    <row r="4">
      <c r="A4" s="43" t="inlineStr">
        <is>
          <t>A) ARR consolidado — percentis ao longo do tempo (R$)</t>
        </is>
      </c>
    </row>
    <row r="5">
      <c r="A5" s="44" t="inlineStr">
        <is>
          <t>Mês</t>
        </is>
      </c>
      <c r="B5" s="44" t="inlineStr">
        <is>
          <t>P10</t>
        </is>
      </c>
      <c r="C5" s="44" t="inlineStr">
        <is>
          <t>P25</t>
        </is>
      </c>
      <c r="D5" s="44" t="inlineStr">
        <is>
          <t>P50 (mediana)</t>
        </is>
      </c>
      <c r="E5" s="44" t="inlineStr">
        <is>
          <t>Média</t>
        </is>
      </c>
      <c r="F5" s="44" t="inlineStr">
        <is>
          <t>P75</t>
        </is>
      </c>
      <c r="G5" s="44" t="inlineStr">
        <is>
          <t>P90</t>
        </is>
      </c>
    </row>
    <row r="6">
      <c r="A6" s="75" t="n">
        <v>3</v>
      </c>
      <c r="B6" s="76" t="n">
        <v>0</v>
      </c>
      <c r="C6" s="76" t="n">
        <v>0</v>
      </c>
      <c r="D6" s="76" t="n">
        <v>0</v>
      </c>
      <c r="E6" s="76" t="n">
        <v>26763</v>
      </c>
      <c r="F6" s="76" t="n">
        <v>43032</v>
      </c>
      <c r="G6" s="76" t="n">
        <v>79835</v>
      </c>
    </row>
    <row r="7">
      <c r="A7" s="75" t="n">
        <v>6</v>
      </c>
      <c r="B7" s="76" t="n">
        <v>0</v>
      </c>
      <c r="C7" s="76" t="n">
        <v>37708</v>
      </c>
      <c r="D7" s="76" t="n">
        <v>71740</v>
      </c>
      <c r="E7" s="76" t="n">
        <v>70058</v>
      </c>
      <c r="F7" s="76" t="n">
        <v>93361</v>
      </c>
      <c r="G7" s="76" t="n">
        <v>139190</v>
      </c>
    </row>
    <row r="8">
      <c r="A8" s="75" t="n">
        <v>9</v>
      </c>
      <c r="B8" s="76" t="n">
        <v>40323</v>
      </c>
      <c r="C8" s="76" t="n">
        <v>79710</v>
      </c>
      <c r="D8" s="76" t="n">
        <v>126702</v>
      </c>
      <c r="E8" s="76" t="n">
        <v>135051</v>
      </c>
      <c r="F8" s="76" t="n">
        <v>180729</v>
      </c>
      <c r="G8" s="76" t="n">
        <v>233806</v>
      </c>
    </row>
    <row r="9">
      <c r="A9" s="75" t="n">
        <v>12</v>
      </c>
      <c r="B9" s="76" t="n">
        <v>109546</v>
      </c>
      <c r="C9" s="76" t="n">
        <v>158750</v>
      </c>
      <c r="D9" s="76" t="n">
        <v>222462</v>
      </c>
      <c r="E9" s="76" t="n">
        <v>234152</v>
      </c>
      <c r="F9" s="76" t="n">
        <v>299296</v>
      </c>
      <c r="G9" s="76" t="n">
        <v>372066</v>
      </c>
    </row>
    <row r="10">
      <c r="A10" s="75" t="n">
        <v>15</v>
      </c>
      <c r="B10" s="76" t="n">
        <v>206944</v>
      </c>
      <c r="C10" s="76" t="n">
        <v>276470</v>
      </c>
      <c r="D10" s="76" t="n">
        <v>365974</v>
      </c>
      <c r="E10" s="76" t="n">
        <v>377241</v>
      </c>
      <c r="F10" s="76" t="n">
        <v>465863</v>
      </c>
      <c r="G10" s="76" t="n">
        <v>564894</v>
      </c>
    </row>
    <row r="11">
      <c r="A11" s="75" t="n">
        <v>18</v>
      </c>
      <c r="B11" s="76" t="n">
        <v>353549</v>
      </c>
      <c r="C11" s="76" t="n">
        <v>445195</v>
      </c>
      <c r="D11" s="76" t="n">
        <v>560318</v>
      </c>
      <c r="E11" s="76" t="n">
        <v>574731</v>
      </c>
      <c r="F11" s="76" t="n">
        <v>688217</v>
      </c>
      <c r="G11" s="76" t="n">
        <v>816262</v>
      </c>
    </row>
    <row r="12">
      <c r="A12" s="75" t="n">
        <v>21</v>
      </c>
      <c r="B12" s="76" t="n">
        <v>550594</v>
      </c>
      <c r="C12" s="76" t="n">
        <v>668644</v>
      </c>
      <c r="D12" s="76" t="n">
        <v>812335</v>
      </c>
      <c r="E12" s="76" t="n">
        <v>831429</v>
      </c>
      <c r="F12" s="76" t="n">
        <v>975662</v>
      </c>
      <c r="G12" s="76" t="n">
        <v>1131260</v>
      </c>
    </row>
    <row r="13">
      <c r="A13" s="75" t="n">
        <v>24</v>
      </c>
      <c r="B13" s="76" t="n">
        <v>806448</v>
      </c>
      <c r="C13" s="76" t="n">
        <v>952047</v>
      </c>
      <c r="D13" s="76" t="n">
        <v>1126656</v>
      </c>
      <c r="E13" s="76" t="n">
        <v>1147716</v>
      </c>
      <c r="F13" s="76" t="n">
        <v>1324772</v>
      </c>
      <c r="G13" s="76" t="n">
        <v>1512937</v>
      </c>
    </row>
    <row r="14">
      <c r="A14" s="75" t="n">
        <v>27</v>
      </c>
      <c r="B14" s="76" t="n">
        <v>1116882</v>
      </c>
      <c r="C14" s="76" t="n">
        <v>1289186</v>
      </c>
      <c r="D14" s="76" t="n">
        <v>1497823</v>
      </c>
      <c r="E14" s="76" t="n">
        <v>1519668</v>
      </c>
      <c r="F14" s="76" t="n">
        <v>1729867</v>
      </c>
      <c r="G14" s="76" t="n">
        <v>1950321</v>
      </c>
    </row>
    <row r="15">
      <c r="A15" s="75" t="n">
        <v>30</v>
      </c>
      <c r="B15" s="76" t="n">
        <v>1465635</v>
      </c>
      <c r="C15" s="76" t="n">
        <v>1665450</v>
      </c>
      <c r="D15" s="76" t="n">
        <v>1912140</v>
      </c>
      <c r="E15" s="76" t="n">
        <v>1935949</v>
      </c>
      <c r="F15" s="76" t="n">
        <v>2185814</v>
      </c>
      <c r="G15" s="76" t="n">
        <v>2435057</v>
      </c>
    </row>
    <row r="16">
      <c r="A16" s="75" t="n">
        <v>33</v>
      </c>
      <c r="B16" s="76" t="n">
        <v>1854592</v>
      </c>
      <c r="C16" s="76" t="n">
        <v>2087409</v>
      </c>
      <c r="D16" s="76" t="n">
        <v>2370920</v>
      </c>
      <c r="E16" s="76" t="n">
        <v>2396103</v>
      </c>
      <c r="F16" s="76" t="n">
        <v>2682212</v>
      </c>
      <c r="G16" s="76" t="n">
        <v>2970134</v>
      </c>
    </row>
    <row r="17">
      <c r="A17" s="75" t="n">
        <v>36</v>
      </c>
      <c r="B17" s="76" t="n">
        <v>2279113</v>
      </c>
      <c r="C17" s="76" t="n">
        <v>2539292</v>
      </c>
      <c r="D17" s="76" t="n">
        <v>2862866</v>
      </c>
      <c r="E17" s="76" t="n">
        <v>2889638</v>
      </c>
      <c r="F17" s="76" t="n">
        <v>3213389</v>
      </c>
      <c r="G17" s="76" t="n">
        <v>3538299</v>
      </c>
    </row>
    <row r="19">
      <c r="A19" s="43" t="inlineStr">
        <is>
          <t>B) Probabilidade de atingir marcos de ARR (%)</t>
        </is>
      </c>
    </row>
    <row r="20">
      <c r="A20" s="44" t="inlineStr">
        <is>
          <t>Marco de ARR (R$)</t>
        </is>
      </c>
      <c r="B20" s="44" t="inlineStr">
        <is>
          <t>Mês 12</t>
        </is>
      </c>
      <c r="C20" s="44" t="inlineStr">
        <is>
          <t>Mês 18</t>
        </is>
      </c>
      <c r="D20" s="44" t="inlineStr">
        <is>
          <t>Mês 24</t>
        </is>
      </c>
      <c r="E20" s="44" t="inlineStr">
        <is>
          <t>Mês 30</t>
        </is>
      </c>
      <c r="F20" s="44" t="inlineStr">
        <is>
          <t>Mês 36</t>
        </is>
      </c>
    </row>
    <row r="21">
      <c r="A21" s="76" t="n">
        <v>250000</v>
      </c>
      <c r="B21" s="77" t="n">
        <v>0.407</v>
      </c>
      <c r="C21" s="77" t="n">
        <v>0.98</v>
      </c>
      <c r="D21" s="77" t="n">
        <v>1</v>
      </c>
      <c r="E21" s="77" t="n">
        <v>1</v>
      </c>
      <c r="F21" s="77" t="n">
        <v>1</v>
      </c>
    </row>
    <row r="22">
      <c r="A22" s="76" t="n">
        <v>500000</v>
      </c>
      <c r="B22" s="77" t="n">
        <v>0.016</v>
      </c>
      <c r="C22" s="77" t="n">
        <v>0.635</v>
      </c>
      <c r="D22" s="77" t="n">
        <v>0.998</v>
      </c>
      <c r="E22" s="77" t="n">
        <v>1</v>
      </c>
      <c r="F22" s="77" t="n">
        <v>1</v>
      </c>
    </row>
    <row r="23">
      <c r="A23" s="76" t="n">
        <v>1000000</v>
      </c>
      <c r="B23" s="77" t="n">
        <v>0</v>
      </c>
      <c r="C23" s="77" t="n">
        <v>0.019</v>
      </c>
      <c r="D23" s="77" t="n">
        <v>0.6840000000000001</v>
      </c>
      <c r="E23" s="77" t="n">
        <v>0.9990000000000001</v>
      </c>
      <c r="F23" s="77" t="n">
        <v>1</v>
      </c>
    </row>
    <row r="24">
      <c r="A24" s="76" t="n">
        <v>2500000</v>
      </c>
      <c r="B24" s="77" t="n">
        <v>0</v>
      </c>
      <c r="C24" s="77" t="n">
        <v>0</v>
      </c>
      <c r="D24" s="77" t="n">
        <v>0</v>
      </c>
      <c r="E24" s="77" t="n">
        <v>0.077</v>
      </c>
      <c r="F24" s="77" t="n">
        <v>0.778</v>
      </c>
    </row>
    <row r="25">
      <c r="A25" s="76" t="n">
        <v>5000000</v>
      </c>
      <c r="B25" s="77" t="n">
        <v>0</v>
      </c>
      <c r="C25" s="77" t="n">
        <v>0</v>
      </c>
      <c r="D25" s="77" t="n">
        <v>0</v>
      </c>
      <c r="E25" s="77" t="n">
        <v>0</v>
      </c>
      <c r="F25" s="77" t="n">
        <v>0</v>
      </c>
    </row>
    <row r="26">
      <c r="A26" s="76" t="n">
        <v>10000000</v>
      </c>
      <c r="B26" s="77" t="n">
        <v>0</v>
      </c>
      <c r="C26" s="77" t="n">
        <v>0</v>
      </c>
      <c r="D26" s="77" t="n">
        <v>0</v>
      </c>
      <c r="E26" s="77" t="n">
        <v>0</v>
      </c>
      <c r="F26" s="77" t="n">
        <v>0</v>
      </c>
    </row>
    <row r="29">
      <c r="A29" s="43" t="inlineStr">
        <is>
          <t>C) Composição do ARR por vertical no mês 36 (ano 3)</t>
        </is>
      </c>
    </row>
    <row r="30">
      <c r="A30" s="44" t="inlineStr">
        <is>
          <t>Vertical</t>
        </is>
      </c>
      <c r="B30" s="44" t="inlineStr">
        <is>
          <t>ARR P10</t>
        </is>
      </c>
      <c r="C30" s="44" t="inlineStr">
        <is>
          <t>ARR P50</t>
        </is>
      </c>
      <c r="D30" s="44" t="inlineStr">
        <is>
          <t>ARR média</t>
        </is>
      </c>
      <c r="E30" s="44" t="inlineStr">
        <is>
          <t>ARR P90</t>
        </is>
      </c>
      <c r="F30" s="44" t="inlineStr">
        <is>
          <t>Logos ativos (P50)</t>
        </is>
      </c>
    </row>
    <row r="31">
      <c r="A31" t="inlineStr">
        <is>
          <t>Varejo (CVM)</t>
        </is>
      </c>
      <c r="B31" s="76" t="n">
        <v>912229</v>
      </c>
      <c r="C31" s="76" t="n">
        <v>1198008</v>
      </c>
      <c r="D31" s="76" t="n">
        <v>1214409</v>
      </c>
      <c r="E31" s="76" t="n">
        <v>1534044</v>
      </c>
      <c r="F31" s="78" t="n">
        <v>28.9</v>
      </c>
    </row>
    <row r="32">
      <c r="A32" t="inlineStr">
        <is>
          <t>Seguros (SUSEP)</t>
        </is>
      </c>
      <c r="B32" s="76" t="n">
        <v>672504</v>
      </c>
      <c r="C32" s="76" t="n">
        <v>1033683</v>
      </c>
      <c r="D32" s="76" t="n">
        <v>1055051</v>
      </c>
      <c r="E32" s="76" t="n">
        <v>1468965</v>
      </c>
      <c r="F32" s="78" t="n">
        <v>13.2</v>
      </c>
    </row>
    <row r="33">
      <c r="A33" t="inlineStr">
        <is>
          <t>Bancos/Fintechs (BACEN)</t>
        </is>
      </c>
      <c r="B33" s="76" t="n">
        <v>243518</v>
      </c>
      <c r="C33" s="76" t="n">
        <v>455176</v>
      </c>
      <c r="D33" s="76" t="n">
        <v>468768</v>
      </c>
      <c r="E33" s="76" t="n">
        <v>711425</v>
      </c>
      <c r="F33" s="78" t="n">
        <v>7.1</v>
      </c>
    </row>
    <row r="34">
      <c r="A34" t="inlineStr">
        <is>
          <t>Utilities (ANEEL)</t>
        </is>
      </c>
      <c r="B34" s="76" t="n">
        <v>49727</v>
      </c>
      <c r="C34" s="76" t="n">
        <v>129752</v>
      </c>
      <c r="D34" s="76" t="n">
        <v>151410</v>
      </c>
      <c r="E34" s="76" t="n">
        <v>288414</v>
      </c>
      <c r="F34" s="78" t="n">
        <v>2</v>
      </c>
    </row>
    <row r="37">
      <c r="A37" s="43" t="inlineStr">
        <is>
          <t>D) Unit Economics — LTV/CAC/Payback (mesmos 20.000 cenários)</t>
        </is>
      </c>
    </row>
    <row r="38">
      <c r="A38" s="44" t="inlineStr">
        <is>
          <t>Métrica</t>
        </is>
      </c>
      <c r="B38" s="44" t="inlineStr">
        <is>
          <t>P10</t>
        </is>
      </c>
      <c r="C38" s="44" t="inlineStr">
        <is>
          <t>P25</t>
        </is>
      </c>
      <c r="D38" s="44" t="inlineStr">
        <is>
          <t>P50</t>
        </is>
      </c>
      <c r="E38" s="44" t="inlineStr">
        <is>
          <t>Média</t>
        </is>
      </c>
      <c r="F38" s="44" t="inlineStr">
        <is>
          <t>P75</t>
        </is>
      </c>
      <c r="G38" s="44" t="inlineStr">
        <is>
          <t>P90</t>
        </is>
      </c>
    </row>
    <row r="39">
      <c r="A39" t="inlineStr">
        <is>
          <t>LTV (R$, founder-lifetime)</t>
        </is>
      </c>
      <c r="B39" s="76" t="n">
        <v>268138.82</v>
      </c>
      <c r="C39" s="76" t="n">
        <v>332435.46</v>
      </c>
      <c r="D39" s="76" t="n">
        <v>433349.49</v>
      </c>
      <c r="E39" s="76" t="n">
        <v>486609.61</v>
      </c>
      <c r="F39" s="76" t="n">
        <v>572230.12</v>
      </c>
      <c r="G39" s="76" t="n">
        <v>759231.34</v>
      </c>
    </row>
    <row r="40">
      <c r="A40" t="inlineStr">
        <is>
          <t>CAC — founder-led (R$)</t>
        </is>
      </c>
      <c r="B40" s="76" t="n">
        <v>15536.09</v>
      </c>
      <c r="C40" s="76" t="n">
        <v>15818.09</v>
      </c>
      <c r="D40" s="76" t="n">
        <v>16149.3</v>
      </c>
      <c r="E40" s="76" t="n">
        <v>16167.9</v>
      </c>
      <c r="F40" s="76" t="n">
        <v>16492.53</v>
      </c>
      <c r="G40" s="76" t="n">
        <v>16824.47</v>
      </c>
    </row>
    <row r="41">
      <c r="A41" t="inlineStr">
        <is>
          <t>LTV/CAC — founder-led (x)</t>
        </is>
      </c>
      <c r="B41" s="79" t="n">
        <v>16.77</v>
      </c>
      <c r="C41" s="79" t="n">
        <v>20.67</v>
      </c>
      <c r="D41" s="79" t="n">
        <v>26.77</v>
      </c>
      <c r="E41" s="79" t="n">
        <v>30.02</v>
      </c>
      <c r="F41" s="79" t="n">
        <v>35.28</v>
      </c>
      <c r="G41" s="79" t="n">
        <v>46.6</v>
      </c>
    </row>
    <row r="42">
      <c r="A42" t="inlineStr">
        <is>
          <t>Payback — founder-led (meses)</t>
        </is>
      </c>
      <c r="B42" s="78" t="n">
        <v>3.46</v>
      </c>
      <c r="C42" s="78" t="n">
        <v>3.65</v>
      </c>
      <c r="D42" s="78" t="n">
        <v>3.92</v>
      </c>
      <c r="E42" s="78" t="n">
        <v>3.94</v>
      </c>
      <c r="F42" s="78" t="n">
        <v>4.21</v>
      </c>
      <c r="G42" s="78" t="n">
        <v>4.46</v>
      </c>
    </row>
    <row r="43">
      <c r="A43" t="inlineStr">
        <is>
          <t>CAC — time comercial full-loaded (R$)</t>
        </is>
      </c>
      <c r="B43" s="76" t="n">
        <v>42790.84</v>
      </c>
      <c r="C43" s="76" t="n">
        <v>46478.41</v>
      </c>
      <c r="D43" s="76" t="n">
        <v>52522.53</v>
      </c>
      <c r="E43" s="76" t="n">
        <v>52570.92</v>
      </c>
      <c r="F43" s="76" t="n">
        <v>58576.45</v>
      </c>
      <c r="G43" s="76" t="n">
        <v>62336.69</v>
      </c>
    </row>
    <row r="44">
      <c r="A44" t="inlineStr">
        <is>
          <t>LTV/CAC — full-loaded (x)</t>
        </is>
      </c>
      <c r="B44" s="79" t="n">
        <v>5.05</v>
      </c>
      <c r="C44" s="79" t="n">
        <v>6.31</v>
      </c>
      <c r="D44" s="79" t="n">
        <v>8.31</v>
      </c>
      <c r="E44" s="79" t="n">
        <v>9.4</v>
      </c>
      <c r="F44" s="79" t="n">
        <v>11.18</v>
      </c>
      <c r="G44" s="79" t="n">
        <v>15</v>
      </c>
    </row>
    <row r="45">
      <c r="A45" t="inlineStr">
        <is>
          <t>Payback — full-loaded (meses)</t>
        </is>
      </c>
      <c r="B45" s="78" t="n">
        <v>10.07</v>
      </c>
      <c r="C45" s="78" t="n">
        <v>11.2</v>
      </c>
      <c r="D45" s="78" t="n">
        <v>12.72</v>
      </c>
      <c r="E45" s="78" t="n">
        <v>12.81</v>
      </c>
      <c r="F45" s="78" t="n">
        <v>14.28</v>
      </c>
      <c r="G45" s="78" t="n">
        <v>15.68</v>
      </c>
    </row>
    <row r="48">
      <c r="A48" s="43" t="inlineStr">
        <is>
          <t>E) Valuation implícito (ARR × múltiplo simulado)</t>
        </is>
      </c>
    </row>
    <row r="49">
      <c r="A49" s="44" t="inlineStr">
        <is>
          <t>Métrica</t>
        </is>
      </c>
      <c r="B49" s="44" t="inlineStr">
        <is>
          <t>P10</t>
        </is>
      </c>
      <c r="C49" s="44" t="inlineStr">
        <is>
          <t>P25</t>
        </is>
      </c>
      <c r="D49" s="44" t="inlineStr">
        <is>
          <t>P50</t>
        </is>
      </c>
      <c r="E49" s="44" t="inlineStr">
        <is>
          <t>Média</t>
        </is>
      </c>
      <c r="F49" s="44" t="inlineStr">
        <is>
          <t>P75</t>
        </is>
      </c>
      <c r="G49" s="44" t="inlineStr">
        <is>
          <t>P90</t>
        </is>
      </c>
    </row>
    <row r="50">
      <c r="A50" t="inlineStr">
        <is>
          <t>Valuation — mês 24 (R$)</t>
        </is>
      </c>
      <c r="B50" s="76" t="n">
        <v>4661946</v>
      </c>
      <c r="C50" s="76" t="n">
        <v>5980592</v>
      </c>
      <c r="D50" s="76" t="n">
        <v>7838397</v>
      </c>
      <c r="E50" s="76" t="n">
        <v>8669542</v>
      </c>
      <c r="F50" s="76" t="n">
        <v>10246313</v>
      </c>
      <c r="G50" s="76" t="n">
        <v>13264381</v>
      </c>
    </row>
    <row r="51">
      <c r="A51" t="inlineStr">
        <is>
          <t>Valuation — mês 36 (R$)</t>
        </is>
      </c>
      <c r="B51" s="76" t="n">
        <v>12652303</v>
      </c>
      <c r="C51" s="76" t="n">
        <v>15642146</v>
      </c>
      <c r="D51" s="76" t="n">
        <v>19890201</v>
      </c>
      <c r="E51" s="76" t="n">
        <v>21827273</v>
      </c>
      <c r="F51" s="76" t="n">
        <v>25386467</v>
      </c>
      <c r="G51" s="76" t="n">
        <v>31931468</v>
      </c>
    </row>
    <row r="54">
      <c r="A54" s="43" t="inlineStr">
        <is>
          <t>F) Comparáveis de múltiplo ARR usados na simulação (dado real, citado)</t>
        </is>
      </c>
    </row>
    <row r="55">
      <c r="A55" s="44" t="inlineStr">
        <is>
          <t>Comparável</t>
        </is>
      </c>
      <c r="B55" s="44" t="inlineStr">
        <is>
          <t>Múltiplo</t>
        </is>
      </c>
      <c r="C55" s="44" t="inlineStr">
        <is>
          <t>Fonte</t>
        </is>
      </c>
    </row>
    <row r="56">
      <c r="A56" s="80" t="inlineStr">
        <is>
          <t>Moody's Analytics × Bureau van Dijk (2017, aquisição estratégica)</t>
        </is>
      </c>
      <c r="B56" s="59" t="inlineStr">
        <is>
          <t>22.7x receita</t>
        </is>
      </c>
      <c r="C56" s="50" t="inlineStr">
        <is>
          <t>Global Benefits Vision / imprensa — comp de cauda estratégica (prob. 5% no modelo)</t>
        </is>
      </c>
    </row>
    <row r="57">
      <c r="A57" s="80" t="inlineStr">
        <is>
          <t>SaaS Capital Index — mediana pública (mar-jun/2026)</t>
        </is>
      </c>
      <c r="B57" s="59" t="inlineStr">
        <is>
          <t>3.8x–4.8x ARR</t>
        </is>
      </c>
      <c r="C57" s="50" t="inlineStr">
        <is>
          <t>Fungies.io / SaaS Capital, 2026</t>
        </is>
      </c>
    </row>
    <row r="58">
      <c r="A58" s="80" t="inlineStr">
        <is>
          <t>SaaS privado, lower middle market (mediana, 2026)</t>
        </is>
      </c>
      <c r="B58" s="59" t="inlineStr">
        <is>
          <t>~4.5x ARR (faixa 3x–7x)</t>
        </is>
      </c>
      <c r="C58" s="50" t="inlineStr">
        <is>
          <t>Aventis Advisors / Livmo, 2026</t>
        </is>
      </c>
    </row>
    <row r="59">
      <c r="A59" s="80" t="inlineStr">
        <is>
          <t>SaaS privado com crescimento &gt;40% a.a.</t>
        </is>
      </c>
      <c r="B59" s="59" t="inlineStr">
        <is>
          <t>7x–10x ARR</t>
        </is>
      </c>
      <c r="C59" s="50" t="inlineStr">
        <is>
          <t>Windsor Drake / L40°, 2026</t>
        </is>
      </c>
    </row>
    <row r="60">
      <c r="A60" s="80" t="inlineStr">
        <is>
          <t>SaaS público, EV/Receita (entrada 2026)</t>
        </is>
      </c>
      <c r="B60" s="59" t="inlineStr">
        <is>
          <t>6x–7x</t>
        </is>
      </c>
      <c r="C60" s="50" t="inlineStr">
        <is>
          <t>ClearlyAcquired / QuantPillar, 2026</t>
        </is>
      </c>
    </row>
    <row r="63">
      <c r="A63" s="43" t="inlineStr">
        <is>
          <t>G) Análise de sensibilidade (correlação com ARR/Valuation no mês 36)</t>
        </is>
      </c>
    </row>
    <row r="64">
      <c r="A64" s="44" t="inlineStr">
        <is>
          <t>Driver</t>
        </is>
      </c>
      <c r="B64" s="44" t="inlineStr">
        <is>
          <t>Correlação</t>
        </is>
      </c>
    </row>
    <row r="65">
      <c r="A65" t="inlineStr">
        <is>
          <t>Multiplo ARR (valuation)</t>
        </is>
      </c>
      <c r="B65" s="81" t="n">
        <v>0.911</v>
      </c>
    </row>
    <row r="66">
      <c r="A66" t="inlineStr">
        <is>
          <t>ARR vertical: Seguros (SUSEP)</t>
        </is>
      </c>
      <c r="B66" s="81" t="n">
        <v>0.731</v>
      </c>
    </row>
    <row r="67">
      <c r="A67" t="inlineStr">
        <is>
          <t>ARR vertical: Varejo (CVM)</t>
        </is>
      </c>
      <c r="B67" s="81" t="n">
        <v>0.623</v>
      </c>
    </row>
    <row r="68">
      <c r="A68" t="inlineStr">
        <is>
          <t>ARR vertical: Bancos/Fintechs (BACEN)</t>
        </is>
      </c>
      <c r="B68" s="81" t="n">
        <v>0.464</v>
      </c>
    </row>
    <row r="69">
      <c r="A69" t="inlineStr">
        <is>
          <t>Price realization</t>
        </is>
      </c>
      <c r="B69" s="81" t="n">
        <v>0.46</v>
      </c>
    </row>
    <row r="70">
      <c r="A70" t="inlineStr">
        <is>
          <t>ARR vertical: Utilities (ANEEL)</t>
        </is>
      </c>
      <c r="B70" s="81" t="n">
        <v>0.262</v>
      </c>
    </row>
    <row r="71">
      <c r="A71" t="inlineStr">
        <is>
          <t>Churn anual</t>
        </is>
      </c>
      <c r="B71" s="81" t="n">
        <v>-0.242</v>
      </c>
    </row>
    <row r="72">
      <c r="A72" t="inlineStr">
        <is>
          <t>Gross margin</t>
        </is>
      </c>
      <c r="B72" s="81" t="n">
        <v>-0.006</v>
      </c>
    </row>
    <row r="75">
      <c r="A75" s="43" t="inlineStr">
        <is>
          <t>Convenção de cor:</t>
        </is>
      </c>
    </row>
    <row r="76">
      <c r="A76" s="64" t="inlineStr">
        <is>
          <t>Azul = dado real, digitado a partir de fonte citada  ·  Preto = fórmula  ·  Amarelo = placeholder a preencher  ·  Verde = premissa de modelagem do CFO (cenário/estimativa, não é fato verificado — distinta de dado real citado).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style="22" min="1" max="1"/>
    <col width="26" customWidth="1" style="22" min="2" max="2"/>
    <col width="60" customWidth="1" style="22" min="3" max="3"/>
    <col width="20" customWidth="1" style="22" min="4" max="4"/>
    <col width="20" customWidth="1" style="22" min="5" max="5"/>
  </cols>
  <sheetData>
    <row r="1">
      <c r="A1" s="41" t="inlineStr">
        <is>
          <t>CFO — Premissas e Metodologia do Motor Quantitativo</t>
        </is>
      </c>
    </row>
    <row r="2" ht="30" customHeight="1" s="22">
      <c r="A2" s="42" t="inlineStr">
        <is>
          <t>Toda premissa de cenário usada na simulação de Monte Carlo e nos modelos de precificação/TAM-SAM-SOM está listada aqui, para que qualquer pessoa (mentor, investidor, o próprio fundador) audite e reproduza o resultado. Nenhuma premissa aqui é 'dado real' — são parâmetros de cenário do CFO.</t>
        </is>
      </c>
    </row>
    <row r="4">
      <c r="A4" s="43" t="inlineStr">
        <is>
          <t>A) Verticais — janela de lançamento, SAM e ACV</t>
        </is>
      </c>
    </row>
    <row r="5">
      <c r="A5" s="44" t="inlineStr">
        <is>
          <t>Vertical</t>
        </is>
      </c>
      <c r="B5" s="44" t="inlineStr">
        <is>
          <t>Lançamento (mín/moda/máx, meses)</t>
        </is>
      </c>
      <c r="C5" s="44" t="inlineStr">
        <is>
          <t>SAM (contas-alvo)</t>
        </is>
      </c>
      <c r="D5" s="44" t="inlineStr">
        <is>
          <t>ACV base (R$/ano)</t>
        </is>
      </c>
      <c r="E5" s="44" t="inlineStr">
        <is>
          <t>CAC início→maturidade (R$)</t>
        </is>
      </c>
    </row>
    <row r="6">
      <c r="A6" s="65" t="inlineStr">
        <is>
          <t>Varejo (CVM)</t>
        </is>
      </c>
      <c r="B6" s="65" t="inlineStr">
        <is>
          <t>0 / 0 / 0 (já ativo)</t>
        </is>
      </c>
      <c r="C6" s="65" t="n">
        <v>70</v>
      </c>
      <c r="D6" s="65" t="n">
        <v>45000</v>
      </c>
      <c r="E6" s="65" t="inlineStr">
        <is>
          <t>9.000 → 28.000</t>
        </is>
      </c>
    </row>
    <row r="7">
      <c r="A7" s="65" t="inlineStr">
        <is>
          <t>Seguros (SUSEP)</t>
        </is>
      </c>
      <c r="B7" s="65" t="inlineStr">
        <is>
          <t>6 / 9 / 14</t>
        </is>
      </c>
      <c r="C7" s="65" t="n">
        <v>130</v>
      </c>
      <c r="D7" s="65" t="n">
        <v>85000</v>
      </c>
      <c r="E7" s="65" t="inlineStr">
        <is>
          <t>14.000 → 40.000</t>
        </is>
      </c>
    </row>
    <row r="8">
      <c r="A8" s="65" t="inlineStr">
        <is>
          <t>Bancos/Fintechs (BACEN)</t>
        </is>
      </c>
      <c r="B8" s="65" t="inlineStr">
        <is>
          <t>12 / 15 / 20</t>
        </is>
      </c>
      <c r="C8" s="65" t="n">
        <v>100</v>
      </c>
      <c r="D8" s="65" t="n">
        <v>70000</v>
      </c>
      <c r="E8" s="65" t="inlineStr">
        <is>
          <t>13.000 → 38.000</t>
        </is>
      </c>
    </row>
    <row r="9">
      <c r="A9" s="65" t="inlineStr">
        <is>
          <t>Utilities (ANEEL)</t>
        </is>
      </c>
      <c r="B9" s="65" t="inlineStr">
        <is>
          <t>18 / 22 / 28</t>
        </is>
      </c>
      <c r="C9" s="65" t="n">
        <v>40</v>
      </c>
      <c r="D9" s="65" t="n">
        <v>65000</v>
      </c>
      <c r="E9" s="65" t="inlineStr">
        <is>
          <t>15.000 → 35.000</t>
        </is>
      </c>
    </row>
    <row r="11">
      <c r="A11" s="43" t="inlineStr">
        <is>
          <t>B) Parâmetros estocásticos globais</t>
        </is>
      </c>
    </row>
    <row r="12">
      <c r="A12" s="44" t="inlineStr">
        <is>
          <t>Parâmetro</t>
        </is>
      </c>
      <c r="B12" s="44" t="inlineStr">
        <is>
          <t>Distribuição</t>
        </is>
      </c>
      <c r="C12" s="44" t="inlineStr">
        <is>
          <t>Racional</t>
        </is>
      </c>
    </row>
    <row r="13" ht="40" customHeight="1" s="22">
      <c r="A13" s="66" t="inlineStr">
        <is>
          <t>Ritmo de novos logos/trimestre</t>
        </is>
      </c>
      <c r="B13" s="66" t="inlineStr">
        <is>
          <t>Poisson(λ), λ evolui linearmente de ramp_start a ramp_end ao longo de 8 trimestres desde o lançamento da vertical, limitado ao SAM remanescente</t>
        </is>
      </c>
      <c r="C13" s="64" t="inlineStr">
        <is>
          <t>Captura curva de adoção em S sem hardcodar um teto — a própria saturação do SAM já limita o crescimento no final</t>
        </is>
      </c>
    </row>
    <row r="14" ht="40" customHeight="1" s="22">
      <c r="A14" s="66" t="inlineStr">
        <is>
          <t>Churn anual de logos</t>
        </is>
      </c>
      <c r="B14" s="66" t="inlineStr">
        <is>
          <t>Beta(6,44) → média ≈12% a.a.</t>
        </is>
      </c>
      <c r="C14" s="64" t="inlineStr">
        <is>
          <t>Referência para ferramentas de compliance/benchmarking embutidas em workflow (alto custo de troca)</t>
        </is>
      </c>
    </row>
    <row r="15" ht="40" customHeight="1" s="22">
      <c r="A15" s="66" t="inlineStr">
        <is>
          <t>Realização de preço (desconto/prêmio vs. lista)</t>
        </is>
      </c>
      <c r="B15" s="66" t="inlineStr">
        <is>
          <t>Uniforme(0,80 ; 1,05)</t>
        </is>
      </c>
      <c r="C15" s="64" t="inlineStr">
        <is>
          <t>Negociação comercial em vendas enterprise B2B</t>
        </is>
      </c>
    </row>
    <row r="16" ht="40" customHeight="1" s="22">
      <c r="A16" s="66" t="inlineStr">
        <is>
          <t>Margem bruta</t>
        </is>
      </c>
      <c r="B16" s="66" t="inlineStr">
        <is>
          <t>Uniforme(0,87 ; 0,93)</t>
        </is>
      </c>
      <c r="C16" s="64" t="inlineStr">
        <is>
          <t>Motor de dados/IA — custo variável = computação de extração/NLP + QA humano</t>
        </is>
      </c>
    </row>
    <row r="17" ht="40" customHeight="1" s="22">
      <c r="A17" s="66" t="inlineStr">
        <is>
          <t>Múltiplo de ARR (valuation)</t>
        </is>
      </c>
      <c r="B17" s="66" t="inlineStr">
        <is>
          <t>Triangular(3 ; 6 ; 12), com 5% de probabilidade de cauda estratégica Uniforme(12;23)</t>
        </is>
      </c>
      <c r="C17" s="64" t="inlineStr">
        <is>
          <t>Ancorado nos comparáveis da aba de Monte Carlo, seção F — a cauda reflete um cenário de aquisição estratégica (ex.: comp Bureau van Dijk/Moody's)</t>
        </is>
      </c>
    </row>
    <row r="18" ht="40" customHeight="1" s="22">
      <c r="A18" s="66" t="inlineStr">
        <is>
          <t>CAC full-loaded (estresse)</t>
        </is>
      </c>
      <c r="B18" s="66" t="inlineStr">
        <is>
          <t>CAC founder-led × Uniforme(2,5 ; 4,0)</t>
        </is>
      </c>
      <c r="C18" s="64" t="inlineStr">
        <is>
          <t>Custo de um time comercial estruturado (AE+SDR+marketing), vs. o CAC de fundador (rede quente/mentores)</t>
        </is>
      </c>
    </row>
    <row r="19" ht="40" customHeight="1" s="22">
      <c r="A19" s="66" t="inlineStr">
        <is>
          <t>Número de simulações</t>
        </is>
      </c>
      <c r="B19" s="66" t="inlineStr">
        <is>
          <t>20.000 cenários independentes, seed=42 (reprodutível)</t>
        </is>
      </c>
      <c r="C19" s="64" t="inlineStr">
        <is>
          <t>Amostra suficiente para estabilizar percentis extremos (P10/P90)</t>
        </is>
      </c>
    </row>
    <row r="22">
      <c r="A22" s="43" t="inlineStr">
        <is>
          <t>C) Dados de mercado reais usados como âncora (fonte externa citada)</t>
        </is>
      </c>
    </row>
    <row r="23">
      <c r="A23" s="44" t="inlineStr">
        <is>
          <t>Dado</t>
        </is>
      </c>
      <c r="B23" s="44" t="inlineStr">
        <is>
          <t>Valor</t>
        </is>
      </c>
      <c r="C23" s="44" t="inlineStr">
        <is>
          <t>Fonte</t>
        </is>
      </c>
    </row>
    <row r="24" ht="30" customHeight="1" s="22">
      <c r="A24" s="80" t="inlineStr">
        <is>
          <t>SUSEP — entidades fiscalizadas</t>
        </is>
      </c>
      <c r="B24" s="80" t="inlineStr">
        <is>
          <t>356 (20 capitalização, 24 corretores de resseguro, 23 EAPC, 119 resseguradoras + seguradoras)</t>
        </is>
      </c>
      <c r="C24" s="50" t="inlineStr">
        <is>
          <t>susep.gov.br (2025)</t>
        </is>
      </c>
    </row>
    <row r="25" ht="30" customHeight="1" s="22">
      <c r="A25" s="80" t="inlineStr">
        <is>
          <t>BACEN — fintechs autorizadas</t>
        </is>
      </c>
      <c r="B25" s="80" t="inlineStr">
        <is>
          <t>308 (2025), alta de 1 (2016) para 258 (2024)</t>
        </is>
      </c>
      <c r="C25" s="50" t="inlineStr">
        <is>
          <t>Boletim Demarest / Agência Brasil (dez/2025-jan/2026)</t>
        </is>
      </c>
    </row>
    <row r="26" ht="30" customHeight="1" s="22">
      <c r="A26" s="80" t="inlineStr">
        <is>
          <t>BACEN — fintechs ativas (universo amplo, reguladas+não reguladas)</t>
        </is>
      </c>
      <c r="B26" s="80" t="inlineStr">
        <is>
          <t>2.156 (2025)</t>
        </is>
      </c>
      <c r="C26" s="50" t="inlineStr">
        <is>
          <t>Mapeamento de Fintechs Atuantes no Brasil 2025 (Fincatch)</t>
        </is>
      </c>
    </row>
    <row r="27" ht="30" customHeight="1" s="22">
      <c r="A27" s="80" t="inlineStr">
        <is>
          <t>ANEEL — grandes distribuidoras</t>
        </is>
      </c>
      <c r="B27" s="80" t="inlineStr">
        <is>
          <t>33 concessionárias de grande porte (ranking de continuidade)</t>
        </is>
      </c>
      <c r="C27" s="50" t="inlineStr">
        <is>
          <t>ABRADEE/ANEEL</t>
        </is>
      </c>
    </row>
    <row r="28" ht="30" customHeight="1" s="22">
      <c r="A28" s="80" t="inlineStr">
        <is>
          <t>B3 — total de companhias listadas</t>
        </is>
      </c>
      <c r="B28" s="80" t="inlineStr">
        <is>
          <t>&gt;400 (todos os setores)</t>
        </is>
      </c>
      <c r="C28" s="50" t="inlineStr">
        <is>
          <t>B3 / InfoMoney (2025-2026)</t>
        </is>
      </c>
    </row>
    <row r="29" ht="30" customHeight="1" s="22">
      <c r="A29" s="80" t="inlineStr">
        <is>
          <t>Moody's × Bureau van Dijk — múltiplo de aquisição</t>
        </is>
      </c>
      <c r="B29" s="80" t="inlineStr">
        <is>
          <t>22,7x receita (2017, EUR 3 bi)</t>
        </is>
      </c>
      <c r="C29" s="50" t="inlineStr">
        <is>
          <t>Global Benefits Vision</t>
        </is>
      </c>
    </row>
    <row r="30" ht="30" customHeight="1" s="22">
      <c r="A30" s="80" t="inlineStr">
        <is>
          <t>SaaS Capital Index — múltiplo público mediano</t>
        </is>
      </c>
      <c r="B30" s="80" t="inlineStr">
        <is>
          <t>3,8x (mar/2026) → 4,8x (mai-jun/2026)</t>
        </is>
      </c>
      <c r="C30" s="50" t="inlineStr">
        <is>
          <t>Fungies.io, 2026</t>
        </is>
      </c>
    </row>
    <row r="31" ht="30" customHeight="1" s="22">
      <c r="A31" s="80" t="inlineStr">
        <is>
          <t>NRF — shrink do varejo americano (referência de escala global)</t>
        </is>
      </c>
      <c r="B31" s="80" t="inlineStr">
        <is>
          <t>~US$ 100 bi/ano (universo comparável ao problema brasileiro de R$42,1 bi)</t>
        </is>
      </c>
      <c r="C31" s="50" t="inlineStr">
        <is>
          <t>NRF, 2024-2025</t>
        </is>
      </c>
    </row>
    <row r="34">
      <c r="A34" s="43" t="inlineStr">
        <is>
          <t>D) Ações recomendadas para reduzir a incerteza do modelo (prioridade)</t>
        </is>
      </c>
    </row>
    <row r="35">
      <c r="A35" s="44" t="inlineStr">
        <is>
          <t>Ação</t>
        </is>
      </c>
      <c r="B35" s="44" t="inlineStr">
        <is>
          <t>Reduz incerteza em...</t>
        </is>
      </c>
      <c r="C35" s="44" t="inlineStr">
        <is>
          <t>Prazo sugerido</t>
        </is>
      </c>
    </row>
    <row r="36" ht="30" customHeight="1" s="22">
      <c r="A36" s="82" t="inlineStr">
        <is>
          <t>Extrair DFP/ITR da Via S.A. (nota de estoques, 2021-2024)</t>
        </is>
      </c>
      <c r="B36" s="82" t="inlineStr">
        <is>
          <t>Teste de caso mais importante do brief (item 3.5) — sensibilidade nº1 do modelo é indiretamente esse dado</t>
        </is>
      </c>
      <c r="C36" s="75" t="inlineStr">
        <is>
          <t>Antes do Demo Day, se possível</t>
        </is>
      </c>
    </row>
    <row r="37" ht="30" customHeight="1" s="22">
      <c r="A37" s="82" t="inlineStr">
        <is>
          <t>Extrair as 6 empresas pendentes + série histórica 3-5 anos</t>
        </is>
      </c>
      <c r="B37" s="82" t="inlineStr">
        <is>
          <t>Robustez estatística do benchmarking (seção B da aba Aprofundamento CFO)</t>
        </is>
      </c>
      <c r="C37" s="75" t="inlineStr">
        <is>
          <t>Até 21/08 (fim do programa)</t>
        </is>
      </c>
    </row>
    <row r="38" ht="30" customHeight="1" s="22">
      <c r="A38" s="82" t="inlineStr">
        <is>
          <t>Validar ACV e SAM com Antonio Nakad (NG Cash) e José Noblecilla (Valor Capital)</t>
        </is>
      </c>
      <c r="B38" s="82" t="inlineStr">
        <is>
          <t>Premissas de precificação e de motor horizontal (maior driver de sensibilidade após o múltiplo)</t>
        </is>
      </c>
      <c r="C38" s="75" t="inlineStr">
        <is>
          <t>Semana do kickoff (24-25/07)</t>
        </is>
      </c>
    </row>
    <row r="39" ht="30" customHeight="1" s="22">
      <c r="A39" s="82" t="inlineStr">
        <is>
          <t>Confirmar 1ª conversa comercial paga (design partner)</t>
        </is>
      </c>
      <c r="B39" s="82" t="inlineStr">
        <is>
          <t>Substitui CAC/ACV assumidos por dado real de negociação</t>
        </is>
      </c>
      <c r="C39" s="75" t="inlineStr">
        <is>
          <t>Pós Demo Day, antes de 21/08</t>
        </is>
      </c>
    </row>
    <row r="42">
      <c r="A42" s="43" t="inlineStr">
        <is>
          <t>Convenção de cor:</t>
        </is>
      </c>
    </row>
    <row r="43">
      <c r="A43" s="64" t="inlineStr">
        <is>
          <t>Azul = dado real, digitado a partir de fonte citada  ·  Preto = fórmula  ·  Amarelo = placeholder a preencher  ·  Verde = premissa de modelagem do CFO (cenário/estimativa, não é fato verificado — distinta de dado real citado).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2026-07-23T12:48:47Z</dcterms:created>
  <dcterms:modified xmlns:dcterms="http://purl.org/dc/terms/" xmlns:xsi="http://www.w3.org/2001/XMLSchema-instance" xsi:type="dcterms:W3CDTF">2026-07-23T14:47:41Z</dcterms:modified>
  <cp:revision>0</cp:revision>
</cp:coreProperties>
</file>